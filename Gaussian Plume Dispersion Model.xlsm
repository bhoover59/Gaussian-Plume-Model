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Courses\E515 Air Pollution\"/>
    </mc:Choice>
  </mc:AlternateContent>
  <xr:revisionPtr revIDLastSave="0" documentId="13_ncr:1_{5D8310CB-8414-4DFF-BA51-43FA358B841D}" xr6:coauthVersionLast="47" xr6:coauthVersionMax="47" xr10:uidLastSave="{00000000-0000-0000-0000-000000000000}"/>
  <bookViews>
    <workbookView xWindow="30165" yWindow="1860" windowWidth="23670" windowHeight="11580" tabRatio="712" firstSheet="6" activeTab="6" xr2:uid="{00000000-000D-0000-FFFF-FFFF00000000}"/>
  </bookViews>
  <sheets>
    <sheet name="Basic Functions" sheetId="1" r:id="rId1"/>
    <sheet name="Conversions" sheetId="3" r:id="rId2"/>
    <sheet name="LOD" sheetId="7" r:id="rId3"/>
    <sheet name="Flow Conc" sheetId="6" r:id="rId4"/>
    <sheet name="Rel to Abs" sheetId="4" r:id="rId5"/>
    <sheet name="Abs to Rel" sheetId="11" r:id="rId6"/>
    <sheet name="Gaussian Plume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2" i="8" l="1"/>
  <c r="G22" i="8" s="1"/>
  <c r="J22" i="8"/>
  <c r="K22" i="8"/>
  <c r="L22" i="8"/>
  <c r="M22" i="8"/>
  <c r="N22" i="8"/>
  <c r="I23" i="8"/>
  <c r="G23" i="8" s="1"/>
  <c r="J23" i="8"/>
  <c r="K23" i="8"/>
  <c r="L23" i="8"/>
  <c r="M23" i="8"/>
  <c r="N23" i="8"/>
  <c r="I24" i="8"/>
  <c r="G24" i="8" s="1"/>
  <c r="J24" i="8"/>
  <c r="K24" i="8"/>
  <c r="L24" i="8"/>
  <c r="M24" i="8"/>
  <c r="N24" i="8"/>
  <c r="I25" i="8"/>
  <c r="G25" i="8" s="1"/>
  <c r="J25" i="8"/>
  <c r="K25" i="8"/>
  <c r="L25" i="8"/>
  <c r="M25" i="8"/>
  <c r="N25" i="8"/>
  <c r="I26" i="8"/>
  <c r="G26" i="8" s="1"/>
  <c r="J26" i="8"/>
  <c r="K26" i="8"/>
  <c r="L26" i="8"/>
  <c r="M26" i="8"/>
  <c r="N26" i="8"/>
  <c r="I27" i="8"/>
  <c r="G27" i="8" s="1"/>
  <c r="J27" i="8"/>
  <c r="K27" i="8"/>
  <c r="L27" i="8"/>
  <c r="M27" i="8"/>
  <c r="N27" i="8"/>
  <c r="I28" i="8"/>
  <c r="G28" i="8" s="1"/>
  <c r="J28" i="8"/>
  <c r="K28" i="8"/>
  <c r="L28" i="8"/>
  <c r="M28" i="8"/>
  <c r="N28" i="8"/>
  <c r="I29" i="8"/>
  <c r="G29" i="8" s="1"/>
  <c r="J29" i="8"/>
  <c r="K29" i="8"/>
  <c r="L29" i="8"/>
  <c r="M29" i="8"/>
  <c r="N29" i="8"/>
  <c r="I30" i="8"/>
  <c r="G30" i="8" s="1"/>
  <c r="J30" i="8"/>
  <c r="K30" i="8"/>
  <c r="L30" i="8"/>
  <c r="M30" i="8"/>
  <c r="N30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C22" i="8"/>
  <c r="C23" i="8"/>
  <c r="C24" i="8" s="1"/>
  <c r="C25" i="8" s="1"/>
  <c r="C26" i="8" s="1"/>
  <c r="C27" i="8" s="1"/>
  <c r="C28" i="8" s="1"/>
  <c r="C29" i="8" s="1"/>
  <c r="C30" i="8" s="1"/>
  <c r="C16" i="8"/>
  <c r="C17" i="8" s="1"/>
  <c r="C18" i="8" s="1"/>
  <c r="C19" i="8" s="1"/>
  <c r="C20" i="8" s="1"/>
  <c r="C21" i="8" s="1"/>
  <c r="C15" i="8"/>
  <c r="B16" i="8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15" i="8"/>
  <c r="A16" i="8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15" i="8"/>
  <c r="H30" i="8" l="1"/>
  <c r="H29" i="8"/>
  <c r="H28" i="8"/>
  <c r="H27" i="8"/>
  <c r="H26" i="8"/>
  <c r="H25" i="8"/>
  <c r="H24" i="8"/>
  <c r="H23" i="8"/>
  <c r="H22" i="8"/>
  <c r="E7" i="3" l="1"/>
  <c r="E6" i="3"/>
  <c r="E5" i="3"/>
  <c r="E4" i="3"/>
  <c r="E3" i="3"/>
  <c r="E2" i="3"/>
  <c r="E18" i="3"/>
  <c r="E17" i="3"/>
  <c r="E16" i="3"/>
  <c r="E15" i="3"/>
  <c r="E14" i="3"/>
  <c r="E13" i="3"/>
  <c r="E12" i="3"/>
  <c r="E11" i="3"/>
  <c r="E10" i="3"/>
  <c r="J21" i="8" l="1"/>
  <c r="E21" i="8"/>
  <c r="L21" i="8" s="1"/>
  <c r="D21" i="8"/>
  <c r="I21" i="8" s="1"/>
  <c r="J20" i="8"/>
  <c r="E20" i="8"/>
  <c r="L20" i="8" s="1"/>
  <c r="D20" i="8"/>
  <c r="E19" i="8"/>
  <c r="L19" i="8" s="1"/>
  <c r="D19" i="8"/>
  <c r="J19" i="8" s="1"/>
  <c r="J18" i="8"/>
  <c r="E18" i="8"/>
  <c r="L18" i="8" s="1"/>
  <c r="D18" i="8"/>
  <c r="I18" i="8" s="1"/>
  <c r="J17" i="8"/>
  <c r="E17" i="8"/>
  <c r="L17" i="8" s="1"/>
  <c r="D17" i="8"/>
  <c r="I17" i="8" s="1"/>
  <c r="J16" i="8"/>
  <c r="E16" i="8"/>
  <c r="K16" i="8" s="1"/>
  <c r="D16" i="8"/>
  <c r="J15" i="8"/>
  <c r="I15" i="8"/>
  <c r="E15" i="8"/>
  <c r="L15" i="8" s="1"/>
  <c r="D15" i="8"/>
  <c r="E14" i="8"/>
  <c r="K14" i="8" s="1"/>
  <c r="D14" i="8"/>
  <c r="J14" i="8" s="1"/>
  <c r="C9" i="6"/>
  <c r="I16" i="8" l="1"/>
  <c r="K17" i="8"/>
  <c r="K18" i="8"/>
  <c r="I19" i="8"/>
  <c r="I20" i="8"/>
  <c r="K21" i="8"/>
  <c r="L16" i="8"/>
  <c r="N16" i="8" s="1"/>
  <c r="K19" i="8"/>
  <c r="K20" i="8"/>
  <c r="K15" i="8"/>
  <c r="L14" i="8"/>
  <c r="N14" i="8" s="1"/>
  <c r="I14" i="8"/>
  <c r="I11" i="1"/>
  <c r="I9" i="1"/>
  <c r="I7" i="1"/>
  <c r="I3" i="1"/>
  <c r="D10" i="1"/>
  <c r="A3" i="1"/>
  <c r="N17" i="8" l="1"/>
  <c r="H17" i="8" s="1"/>
  <c r="M17" i="8"/>
  <c r="G17" i="8" s="1"/>
  <c r="M16" i="8"/>
  <c r="N18" i="8"/>
  <c r="H18" i="8" s="1"/>
  <c r="M18" i="8"/>
  <c r="G18" i="8" s="1"/>
  <c r="N21" i="8"/>
  <c r="H21" i="8" s="1"/>
  <c r="M21" i="8"/>
  <c r="G21" i="8" s="1"/>
  <c r="N20" i="8"/>
  <c r="H20" i="8" s="1"/>
  <c r="M20" i="8"/>
  <c r="G20" i="8"/>
  <c r="G16" i="8"/>
  <c r="H16" i="8"/>
  <c r="N19" i="8"/>
  <c r="H19" i="8" s="1"/>
  <c r="M19" i="8"/>
  <c r="G19" i="8" s="1"/>
  <c r="M15" i="8"/>
  <c r="G15" i="8" s="1"/>
  <c r="N15" i="8"/>
  <c r="H15" i="8" s="1"/>
  <c r="H14" i="8"/>
  <c r="M14" i="8"/>
  <c r="G14" i="8" s="1"/>
  <c r="C10" i="6"/>
  <c r="I5" i="1" l="1"/>
</calcChain>
</file>

<file path=xl/sharedStrings.xml><?xml version="1.0" encoding="utf-8"?>
<sst xmlns="http://schemas.openxmlformats.org/spreadsheetml/2006/main" count="126" uniqueCount="90">
  <si>
    <t>Addition/Subtraction</t>
  </si>
  <si>
    <t>Multiplication/Division</t>
  </si>
  <si>
    <t>Concentration</t>
  </si>
  <si>
    <t>Unit</t>
  </si>
  <si>
    <t>Percent</t>
  </si>
  <si>
    <t>ppm</t>
  </si>
  <si>
    <t>ppb</t>
  </si>
  <si>
    <t>ppt</t>
  </si>
  <si>
    <t>molecules/cm3</t>
  </si>
  <si>
    <t>mol/L air</t>
  </si>
  <si>
    <t>m</t>
  </si>
  <si>
    <t>atm</t>
  </si>
  <si>
    <t>Pressure</t>
  </si>
  <si>
    <t>kPa</t>
  </si>
  <si>
    <t>Pa</t>
  </si>
  <si>
    <t>bar</t>
  </si>
  <si>
    <t>mmHg</t>
  </si>
  <si>
    <t>inHg</t>
  </si>
  <si>
    <t>hPa</t>
  </si>
  <si>
    <t>barye</t>
  </si>
  <si>
    <t>PSI</t>
  </si>
  <si>
    <t xml:space="preserve">SNR = </t>
  </si>
  <si>
    <r>
      <t>R</t>
    </r>
    <r>
      <rPr>
        <vertAlign val="subscript"/>
        <sz val="11"/>
        <color theme="1"/>
        <rFont val="Calibri"/>
        <family val="2"/>
        <scheme val="minor"/>
      </rPr>
      <t>HONO</t>
    </r>
    <r>
      <rPr>
        <sz val="11"/>
        <color theme="1"/>
        <rFont val="Calibri"/>
        <family val="2"/>
        <scheme val="minor"/>
      </rPr>
      <t xml:space="preserve"> = </t>
    </r>
  </si>
  <si>
    <r>
      <t>R</t>
    </r>
    <r>
      <rPr>
        <vertAlign val="subscript"/>
        <sz val="11"/>
        <color theme="1"/>
        <rFont val="Calibri"/>
        <family val="2"/>
        <scheme val="minor"/>
      </rPr>
      <t>OH</t>
    </r>
    <r>
      <rPr>
        <sz val="11"/>
        <color theme="1"/>
        <rFont val="Calibri"/>
        <family val="2"/>
        <scheme val="minor"/>
      </rPr>
      <t xml:space="preserve"> = </t>
    </r>
  </si>
  <si>
    <r>
      <t>P</t>
    </r>
    <r>
      <rPr>
        <vertAlign val="subscript"/>
        <sz val="11"/>
        <color theme="1"/>
        <rFont val="Calibri"/>
        <family val="2"/>
        <scheme val="minor"/>
      </rPr>
      <t>308</t>
    </r>
    <r>
      <rPr>
        <sz val="11"/>
        <color theme="1"/>
        <rFont val="Calibri"/>
        <family val="2"/>
        <scheme val="minor"/>
      </rPr>
      <t xml:space="preserve"> = </t>
    </r>
  </si>
  <si>
    <r>
      <t>P</t>
    </r>
    <r>
      <rPr>
        <vertAlign val="subscript"/>
        <sz val="11"/>
        <color theme="1"/>
        <rFont val="Calibri"/>
        <family val="2"/>
        <scheme val="minor"/>
      </rPr>
      <t>355</t>
    </r>
    <r>
      <rPr>
        <sz val="11"/>
        <color theme="1"/>
        <rFont val="Calibri"/>
        <family val="2"/>
        <scheme val="minor"/>
      </rPr>
      <t xml:space="preserve"> = </t>
    </r>
  </si>
  <si>
    <t>counts/(ppb*mW*W)</t>
  </si>
  <si>
    <r>
      <t>counts*cm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/(molecules*mW)</t>
    </r>
  </si>
  <si>
    <t>mW</t>
  </si>
  <si>
    <t>W</t>
  </si>
  <si>
    <t>Limits of Detection:</t>
  </si>
  <si>
    <t>Averaging Time:</t>
  </si>
  <si>
    <t>30 seconds</t>
  </si>
  <si>
    <t>1 minute</t>
  </si>
  <si>
    <t>5 minutes</t>
  </si>
  <si>
    <t>10 minutes</t>
  </si>
  <si>
    <t>30 minutes</t>
  </si>
  <si>
    <t>1 hour</t>
  </si>
  <si>
    <t>HONO:</t>
  </si>
  <si>
    <t xml:space="preserve">OH: </t>
  </si>
  <si>
    <r>
      <t>molecules cm</t>
    </r>
    <r>
      <rPr>
        <vertAlign val="superscript"/>
        <sz val="11"/>
        <color theme="1"/>
        <rFont val="Calibri"/>
        <family val="2"/>
        <scheme val="minor"/>
      </rPr>
      <t>-3</t>
    </r>
  </si>
  <si>
    <t>Background Measurements:</t>
  </si>
  <si>
    <t>Assuming one background point per second</t>
  </si>
  <si>
    <t>N/A</t>
  </si>
  <si>
    <t>Emission Rate</t>
  </si>
  <si>
    <t>g/s</t>
  </si>
  <si>
    <t>Wind Speed</t>
  </si>
  <si>
    <t>m/s</t>
  </si>
  <si>
    <t>Height of Plume</t>
  </si>
  <si>
    <t>Stability Class</t>
  </si>
  <si>
    <t>Iy</t>
  </si>
  <si>
    <t>Jy</t>
  </si>
  <si>
    <t>Ky</t>
  </si>
  <si>
    <t>Iz</t>
  </si>
  <si>
    <t>Jz</t>
  </si>
  <si>
    <t>Kz</t>
  </si>
  <si>
    <t>B</t>
  </si>
  <si>
    <t>x</t>
  </si>
  <si>
    <t>y</t>
  </si>
  <si>
    <t>z</t>
  </si>
  <si>
    <r>
      <t>σ</t>
    </r>
    <r>
      <rPr>
        <vertAlign val="subscript"/>
        <sz val="11"/>
        <color theme="1"/>
        <rFont val="Calibri"/>
        <family val="2"/>
      </rPr>
      <t>y</t>
    </r>
  </si>
  <si>
    <r>
      <t>σ</t>
    </r>
    <r>
      <rPr>
        <vertAlign val="subscript"/>
        <sz val="11"/>
        <color theme="1"/>
        <rFont val="Calibri"/>
        <family val="2"/>
      </rPr>
      <t>z</t>
    </r>
  </si>
  <si>
    <t>Pre-exponential</t>
  </si>
  <si>
    <r>
      <t>e</t>
    </r>
    <r>
      <rPr>
        <vertAlign val="superscript"/>
        <sz val="11"/>
        <color theme="1"/>
        <rFont val="Calibri"/>
        <family val="2"/>
        <scheme val="minor"/>
      </rPr>
      <t>y</t>
    </r>
  </si>
  <si>
    <r>
      <t>e</t>
    </r>
    <r>
      <rPr>
        <vertAlign val="superscript"/>
        <sz val="11"/>
        <color theme="1"/>
        <rFont val="Calibri"/>
        <family val="2"/>
        <scheme val="minor"/>
      </rPr>
      <t>z-H</t>
    </r>
  </si>
  <si>
    <r>
      <t>e</t>
    </r>
    <r>
      <rPr>
        <vertAlign val="superscript"/>
        <sz val="11"/>
        <color theme="1"/>
        <rFont val="Calibri"/>
        <family val="2"/>
        <scheme val="minor"/>
      </rPr>
      <t>z+H</t>
    </r>
  </si>
  <si>
    <t>Reflected</t>
  </si>
  <si>
    <t>Absorbed</t>
  </si>
  <si>
    <r>
      <t>Concentration(g/m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 (reflected)</t>
    </r>
  </si>
  <si>
    <r>
      <t>Concentration(g/m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 (absorbed)</t>
    </r>
  </si>
  <si>
    <t>1 Concentration</t>
  </si>
  <si>
    <t>1 Flow</t>
  </si>
  <si>
    <t>2 Concentration</t>
  </si>
  <si>
    <t>2 Flow</t>
  </si>
  <si>
    <t>ccm</t>
  </si>
  <si>
    <t>Final Concentration</t>
  </si>
  <si>
    <t>Final Flow</t>
  </si>
  <si>
    <t>ln</t>
  </si>
  <si>
    <t>e^</t>
  </si>
  <si>
    <t>1/</t>
  </si>
  <si>
    <t>10^</t>
  </si>
  <si>
    <t>log</t>
  </si>
  <si>
    <r>
      <t>Average Temperature (</t>
    </r>
    <r>
      <rPr>
        <sz val="11"/>
        <color theme="1"/>
        <rFont val="Calibri"/>
        <family val="2"/>
      </rPr>
      <t>°C)</t>
    </r>
  </si>
  <si>
    <t>Average Pressure (atm)</t>
  </si>
  <si>
    <r>
      <t>Temp (</t>
    </r>
    <r>
      <rPr>
        <sz val="11"/>
        <color theme="1"/>
        <rFont val="Calibri"/>
        <family val="2"/>
      </rPr>
      <t>°C)</t>
    </r>
  </si>
  <si>
    <t>Pressure (atm)</t>
  </si>
  <si>
    <t>Absolute Humidity</t>
  </si>
  <si>
    <t>g/m3</t>
  </si>
  <si>
    <t>RH (%)</t>
  </si>
  <si>
    <t>Relative Humidity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</si>
</sst>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E+00"/>
    <numFmt numFmtId="166" formatCode="0.000%"/>
  </numFmts>
  <fonts count="8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0">
    <xf numFmtId="0" fontId="0" fillId="0" borderId="0" xfId="0"/>
    <xf numFmtId="0" fontId="0" fillId="0" borderId="1" xfId="0" applyBorder="1"/>
    <xf numFmtId="0" fontId="0" fillId="0" borderId="2" xfId="0" applyBorder="1"/>
    <xf numFmtId="11" fontId="0" fillId="0" borderId="0" xfId="0" applyNumberFormat="1"/>
    <xf numFmtId="0" fontId="2" fillId="0" borderId="0" xfId="0" applyFont="1"/>
    <xf numFmtId="2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left" wrapText="1"/>
    </xf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7" xfId="0" applyBorder="1" applyAlignment="1">
      <alignment horizontal="left" wrapText="1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164" fontId="0" fillId="0" borderId="0" xfId="0" applyNumberFormat="1"/>
    <xf numFmtId="11" fontId="0" fillId="0" borderId="2" xfId="0" applyNumberFormat="1" applyBorder="1"/>
    <xf numFmtId="2" fontId="0" fillId="0" borderId="2" xfId="0" applyNumberForma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12" xfId="0" applyBorder="1"/>
    <xf numFmtId="165" fontId="0" fillId="0" borderId="1" xfId="0" applyNumberFormat="1" applyBorder="1"/>
    <xf numFmtId="165" fontId="0" fillId="0" borderId="0" xfId="0" applyNumberFormat="1"/>
    <xf numFmtId="0" fontId="0" fillId="0" borderId="30" xfId="0" applyBorder="1"/>
    <xf numFmtId="9" fontId="0" fillId="0" borderId="0" xfId="1" applyFont="1"/>
    <xf numFmtId="166" fontId="0" fillId="0" borderId="0" xfId="1" applyNumberFormat="1" applyFont="1"/>
    <xf numFmtId="166" fontId="0" fillId="0" borderId="0" xfId="0" applyNumberFormat="1"/>
    <xf numFmtId="11" fontId="0" fillId="0" borderId="24" xfId="0" applyNumberFormat="1" applyBorder="1"/>
    <xf numFmtId="11" fontId="0" fillId="0" borderId="13" xfId="0" applyNumberFormat="1" applyBorder="1"/>
    <xf numFmtId="0" fontId="0" fillId="0" borderId="12" xfId="0" applyBorder="1" applyAlignment="1">
      <alignment horizontal="left" wrapText="1"/>
    </xf>
    <xf numFmtId="0" fontId="0" fillId="0" borderId="15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2B82"/>
      <color rgb="FFFF1D1D"/>
      <color rgb="FF002774"/>
      <color rgb="FF73B149"/>
      <color rgb="FF6CA644"/>
      <color rgb="FFFF7575"/>
      <color rgb="FF954ECA"/>
      <color rgb="FF5D2884"/>
      <color rgb="FFFF6161"/>
      <color rgb="FFB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checked="Checked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checked="Checked" firstButton="1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7</xdr:col>
          <xdr:colOff>190500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Equations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180975</xdr:rowOff>
        </xdr:from>
        <xdr:to>
          <xdr:col>3</xdr:col>
          <xdr:colOff>228600</xdr:colOff>
          <xdr:row>2</xdr:row>
          <xdr:rowOff>19050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Percent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180975</xdr:rowOff>
        </xdr:from>
        <xdr:to>
          <xdr:col>3</xdr:col>
          <xdr:colOff>228600</xdr:colOff>
          <xdr:row>3</xdr:row>
          <xdr:rowOff>19050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228600</xdr:colOff>
          <xdr:row>4</xdr:row>
          <xdr:rowOff>28575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228600</xdr:colOff>
          <xdr:row>5</xdr:row>
          <xdr:rowOff>28575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180975</xdr:rowOff>
        </xdr:from>
        <xdr:to>
          <xdr:col>3</xdr:col>
          <xdr:colOff>228600</xdr:colOff>
          <xdr:row>6</xdr:row>
          <xdr:rowOff>19050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molecules/cm3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180975</xdr:rowOff>
        </xdr:from>
        <xdr:to>
          <xdr:col>3</xdr:col>
          <xdr:colOff>228600</xdr:colOff>
          <xdr:row>7</xdr:row>
          <xdr:rowOff>19050</xdr:rowOff>
        </xdr:to>
        <xdr:sp macro="" textlink="">
          <xdr:nvSpPr>
            <xdr:cNvPr id="3087" name="Option 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mol/L air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171450</xdr:rowOff>
        </xdr:from>
        <xdr:to>
          <xdr:col>2</xdr:col>
          <xdr:colOff>152400</xdr:colOff>
          <xdr:row>10</xdr:row>
          <xdr:rowOff>9525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9</xdr:row>
          <xdr:rowOff>171450</xdr:rowOff>
        </xdr:from>
        <xdr:to>
          <xdr:col>2</xdr:col>
          <xdr:colOff>142875</xdr:colOff>
          <xdr:row>11</xdr:row>
          <xdr:rowOff>9525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10</xdr:row>
          <xdr:rowOff>171450</xdr:rowOff>
        </xdr:from>
        <xdr:to>
          <xdr:col>2</xdr:col>
          <xdr:colOff>142875</xdr:colOff>
          <xdr:row>12</xdr:row>
          <xdr:rowOff>9525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11</xdr:row>
          <xdr:rowOff>171450</xdr:rowOff>
        </xdr:from>
        <xdr:to>
          <xdr:col>2</xdr:col>
          <xdr:colOff>142875</xdr:colOff>
          <xdr:row>13</xdr:row>
          <xdr:rowOff>9525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12</xdr:row>
          <xdr:rowOff>180975</xdr:rowOff>
        </xdr:from>
        <xdr:to>
          <xdr:col>2</xdr:col>
          <xdr:colOff>142875</xdr:colOff>
          <xdr:row>14</xdr:row>
          <xdr:rowOff>19050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13</xdr:row>
          <xdr:rowOff>161925</xdr:rowOff>
        </xdr:from>
        <xdr:to>
          <xdr:col>2</xdr:col>
          <xdr:colOff>142875</xdr:colOff>
          <xdr:row>15</xdr:row>
          <xdr:rowOff>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14</xdr:row>
          <xdr:rowOff>152400</xdr:rowOff>
        </xdr:from>
        <xdr:to>
          <xdr:col>2</xdr:col>
          <xdr:colOff>142875</xdr:colOff>
          <xdr:row>15</xdr:row>
          <xdr:rowOff>180975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mmHg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15</xdr:row>
          <xdr:rowOff>152400</xdr:rowOff>
        </xdr:from>
        <xdr:to>
          <xdr:col>2</xdr:col>
          <xdr:colOff>142875</xdr:colOff>
          <xdr:row>16</xdr:row>
          <xdr:rowOff>180975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inHg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16</xdr:row>
          <xdr:rowOff>152400</xdr:rowOff>
        </xdr:from>
        <xdr:to>
          <xdr:col>2</xdr:col>
          <xdr:colOff>142875</xdr:colOff>
          <xdr:row>17</xdr:row>
          <xdr:rowOff>180975</xdr:rowOff>
        </xdr:to>
        <xdr:sp macro="" textlink="">
          <xdr:nvSpPr>
            <xdr:cNvPr id="3097" name="Option 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barye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581025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LOD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1</xdr:row>
          <xdr:rowOff>57150</xdr:rowOff>
        </xdr:from>
        <xdr:to>
          <xdr:col>6</xdr:col>
          <xdr:colOff>171450</xdr:colOff>
          <xdr:row>2</xdr:row>
          <xdr:rowOff>123825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Equations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0</xdr:rowOff>
        </xdr:from>
        <xdr:to>
          <xdr:col>6</xdr:col>
          <xdr:colOff>9525</xdr:colOff>
          <xdr:row>2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180975</xdr:rowOff>
        </xdr:from>
        <xdr:to>
          <xdr:col>1</xdr:col>
          <xdr:colOff>600075</xdr:colOff>
          <xdr:row>4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180975</xdr:rowOff>
        </xdr:from>
        <xdr:to>
          <xdr:col>1</xdr:col>
          <xdr:colOff>0</xdr:colOff>
          <xdr:row>4</xdr:row>
          <xdr:rowOff>9525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5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g/m3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180975</xdr:rowOff>
        </xdr:from>
        <xdr:to>
          <xdr:col>6</xdr:col>
          <xdr:colOff>304800</xdr:colOff>
          <xdr:row>5</xdr:row>
          <xdr:rowOff>66675</xdr:rowOff>
        </xdr:to>
        <xdr:sp macro="" textlink="">
          <xdr:nvSpPr>
            <xdr:cNvPr id="11265" name="Group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180975</xdr:rowOff>
        </xdr:from>
        <xdr:to>
          <xdr:col>7</xdr:col>
          <xdr:colOff>371475</xdr:colOff>
          <xdr:row>5</xdr:row>
          <xdr:rowOff>66675</xdr:rowOff>
        </xdr:to>
        <xdr:sp macro="" textlink="">
          <xdr:nvSpPr>
            <xdr:cNvPr id="11272" name="Group Box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B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Parameter Source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1</xdr:row>
          <xdr:rowOff>133350</xdr:rowOff>
        </xdr:from>
        <xdr:to>
          <xdr:col>7</xdr:col>
          <xdr:colOff>352425</xdr:colOff>
          <xdr:row>2</xdr:row>
          <xdr:rowOff>152400</xdr:rowOff>
        </xdr:to>
        <xdr:sp macro="" textlink="">
          <xdr:nvSpPr>
            <xdr:cNvPr id="11274" name="Option 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B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Pasquill-Gifford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2</xdr:row>
          <xdr:rowOff>152400</xdr:rowOff>
        </xdr:from>
        <xdr:to>
          <xdr:col>6</xdr:col>
          <xdr:colOff>1143000</xdr:colOff>
          <xdr:row>3</xdr:row>
          <xdr:rowOff>180975</xdr:rowOff>
        </xdr:to>
        <xdr:sp macro="" textlink="">
          <xdr:nvSpPr>
            <xdr:cNvPr id="11275" name="Option 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B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4</xdr:row>
          <xdr:rowOff>0</xdr:rowOff>
        </xdr:from>
        <xdr:to>
          <xdr:col>6</xdr:col>
          <xdr:colOff>1123950</xdr:colOff>
          <xdr:row>5</xdr:row>
          <xdr:rowOff>0</xdr:rowOff>
        </xdr:to>
        <xdr:sp macro="" textlink="">
          <xdr:nvSpPr>
            <xdr:cNvPr id="11277" name="Option 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B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Klug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123825</xdr:rowOff>
        </xdr:from>
        <xdr:to>
          <xdr:col>4</xdr:col>
          <xdr:colOff>123825</xdr:colOff>
          <xdr:row>2</xdr:row>
          <xdr:rowOff>152400</xdr:rowOff>
        </xdr:to>
        <xdr:sp macro="" textlink="">
          <xdr:nvSpPr>
            <xdr:cNvPr id="11278" name="Option 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B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Strong Sun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123825</xdr:rowOff>
        </xdr:from>
        <xdr:to>
          <xdr:col>5</xdr:col>
          <xdr:colOff>428625</xdr:colOff>
          <xdr:row>2</xdr:row>
          <xdr:rowOff>152400</xdr:rowOff>
        </xdr:to>
        <xdr:sp macro="" textlink="">
          <xdr:nvSpPr>
            <xdr:cNvPr id="11280" name="Option 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B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Mod. Sun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133350</xdr:rowOff>
        </xdr:from>
        <xdr:to>
          <xdr:col>4</xdr:col>
          <xdr:colOff>114300</xdr:colOff>
          <xdr:row>3</xdr:row>
          <xdr:rowOff>161925</xdr:rowOff>
        </xdr:to>
        <xdr:sp macro="" textlink="">
          <xdr:nvSpPr>
            <xdr:cNvPr id="11281" name="Option 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B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Slight Sun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</xdr:row>
          <xdr:rowOff>142875</xdr:rowOff>
        </xdr:from>
        <xdr:to>
          <xdr:col>5</xdr:col>
          <xdr:colOff>428625</xdr:colOff>
          <xdr:row>3</xdr:row>
          <xdr:rowOff>171450</xdr:rowOff>
        </xdr:to>
        <xdr:sp macro="" textlink="">
          <xdr:nvSpPr>
            <xdr:cNvPr id="11282" name="Option Butto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B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Overcast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3</xdr:row>
          <xdr:rowOff>142875</xdr:rowOff>
        </xdr:from>
        <xdr:to>
          <xdr:col>4</xdr:col>
          <xdr:colOff>123825</xdr:colOff>
          <xdr:row>4</xdr:row>
          <xdr:rowOff>171450</xdr:rowOff>
        </xdr:to>
        <xdr:sp macro="" textlink="">
          <xdr:nvSpPr>
            <xdr:cNvPr id="11283" name="Option Butto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B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Night Cloudy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142875</xdr:rowOff>
        </xdr:from>
        <xdr:to>
          <xdr:col>5</xdr:col>
          <xdr:colOff>428625</xdr:colOff>
          <xdr:row>4</xdr:row>
          <xdr:rowOff>171450</xdr:rowOff>
        </xdr:to>
        <xdr:sp macro="" textlink="">
          <xdr:nvSpPr>
            <xdr:cNvPr id="11284" name="Option 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B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Night Clear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0"/>
  <sheetViews>
    <sheetView workbookViewId="0">
      <selection activeCell="A3" sqref="A3"/>
    </sheetView>
  </sheetViews>
  <sheetFormatPr defaultRowHeight="15" x14ac:dyDescent="0.25"/>
  <cols>
    <col min="1" max="1" width="19.85546875" customWidth="1"/>
    <col min="4" max="4" width="21.28515625" customWidth="1"/>
    <col min="7" max="7" width="9.5703125" bestFit="1" customWidth="1"/>
    <col min="9" max="9" width="10.85546875" customWidth="1"/>
  </cols>
  <sheetData>
    <row r="1" spans="1:9" ht="24" customHeight="1" x14ac:dyDescent="0.25">
      <c r="A1" t="s">
        <v>0</v>
      </c>
      <c r="D1" t="s">
        <v>1</v>
      </c>
    </row>
    <row r="2" spans="1:9" ht="15" customHeight="1" thickBot="1" x14ac:dyDescent="0.3"/>
    <row r="3" spans="1:9" ht="15.75" thickBot="1" x14ac:dyDescent="0.3">
      <c r="A3" s="1">
        <f>SUM(A4:A17)</f>
        <v>0</v>
      </c>
      <c r="D3">
        <v>1</v>
      </c>
      <c r="F3" t="s">
        <v>77</v>
      </c>
      <c r="G3">
        <v>2</v>
      </c>
      <c r="I3" s="1">
        <f>LN($G$3)</f>
        <v>0.69314718055994529</v>
      </c>
    </row>
    <row r="4" spans="1:9" ht="15.75" thickBot="1" x14ac:dyDescent="0.3">
      <c r="A4">
        <v>0</v>
      </c>
      <c r="D4">
        <v>1</v>
      </c>
    </row>
    <row r="5" spans="1:9" ht="15.75" thickBot="1" x14ac:dyDescent="0.3">
      <c r="A5">
        <v>0</v>
      </c>
      <c r="D5">
        <v>1</v>
      </c>
      <c r="F5" t="s">
        <v>78</v>
      </c>
      <c r="G5">
        <v>2</v>
      </c>
      <c r="I5" s="36">
        <f>EXP($G$5)</f>
        <v>7.3890560989306504</v>
      </c>
    </row>
    <row r="6" spans="1:9" ht="15.75" thickBot="1" x14ac:dyDescent="0.3">
      <c r="A6">
        <v>0</v>
      </c>
      <c r="D6">
        <v>1</v>
      </c>
    </row>
    <row r="7" spans="1:9" ht="15.75" thickBot="1" x14ac:dyDescent="0.3">
      <c r="A7">
        <v>0</v>
      </c>
      <c r="D7">
        <v>1</v>
      </c>
      <c r="F7" t="s">
        <v>79</v>
      </c>
      <c r="G7" s="37">
        <v>2</v>
      </c>
      <c r="I7" s="1">
        <f>1/$G$7</f>
        <v>0.5</v>
      </c>
    </row>
    <row r="8" spans="1:9" ht="15.75" thickBot="1" x14ac:dyDescent="0.3">
      <c r="A8">
        <v>0</v>
      </c>
      <c r="D8" s="3">
        <v>6.02E+23</v>
      </c>
    </row>
    <row r="9" spans="1:9" ht="15.75" thickBot="1" x14ac:dyDescent="0.3">
      <c r="A9">
        <v>0</v>
      </c>
      <c r="D9" s="3">
        <v>4.0869999999999997E-2</v>
      </c>
      <c r="F9" t="s">
        <v>80</v>
      </c>
      <c r="G9">
        <v>5.5</v>
      </c>
      <c r="I9" s="1">
        <f>10^($G$9)</f>
        <v>316227.7660168382</v>
      </c>
    </row>
    <row r="10" spans="1:9" ht="15.75" thickBot="1" x14ac:dyDescent="0.3">
      <c r="A10">
        <v>0</v>
      </c>
      <c r="D10" s="1">
        <f>($D$3*$D$4*$D$5*$D$6*$D$7*$D$8*$D$9)/($D$11*$D$12*$D$13*$D$14*$D$15*$D$16*$D$17*$D$18*$D$19*$D$20)</f>
        <v>2.460374E+19</v>
      </c>
    </row>
    <row r="11" spans="1:9" ht="15.75" thickBot="1" x14ac:dyDescent="0.3">
      <c r="A11">
        <v>0</v>
      </c>
      <c r="D11" s="3">
        <v>1000</v>
      </c>
      <c r="F11" t="s">
        <v>81</v>
      </c>
      <c r="G11">
        <v>5</v>
      </c>
      <c r="I11" s="1">
        <f>LOG($G$11)</f>
        <v>0.69897000433601886</v>
      </c>
    </row>
    <row r="12" spans="1:9" x14ac:dyDescent="0.25">
      <c r="A12">
        <v>0</v>
      </c>
      <c r="D12">
        <v>1</v>
      </c>
    </row>
    <row r="13" spans="1:9" x14ac:dyDescent="0.25">
      <c r="A13">
        <v>0</v>
      </c>
      <c r="D13">
        <v>1</v>
      </c>
    </row>
    <row r="14" spans="1:9" x14ac:dyDescent="0.25">
      <c r="A14">
        <v>0</v>
      </c>
      <c r="D14">
        <v>1</v>
      </c>
    </row>
    <row r="15" spans="1:9" x14ac:dyDescent="0.25">
      <c r="A15">
        <v>0</v>
      </c>
      <c r="D15">
        <v>1</v>
      </c>
    </row>
    <row r="16" spans="1:9" x14ac:dyDescent="0.25">
      <c r="A16">
        <v>0</v>
      </c>
      <c r="D16">
        <v>1</v>
      </c>
    </row>
    <row r="17" spans="1:4" x14ac:dyDescent="0.25">
      <c r="A17">
        <v>0</v>
      </c>
      <c r="D17">
        <v>1</v>
      </c>
    </row>
    <row r="18" spans="1:4" x14ac:dyDescent="0.25">
      <c r="D18">
        <v>1</v>
      </c>
    </row>
    <row r="19" spans="1:4" x14ac:dyDescent="0.25">
      <c r="D19">
        <v>1</v>
      </c>
    </row>
    <row r="20" spans="1:4" x14ac:dyDescent="0.25">
      <c r="D20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asicFunctions_Button1_Click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7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18"/>
  <sheetViews>
    <sheetView workbookViewId="0">
      <selection activeCell="F6" sqref="F6"/>
    </sheetView>
  </sheetViews>
  <sheetFormatPr defaultRowHeight="15" x14ac:dyDescent="0.25"/>
  <cols>
    <col min="1" max="1" width="13.7109375" bestFit="1" customWidth="1"/>
    <col min="5" max="5" width="11" bestFit="1" customWidth="1"/>
  </cols>
  <sheetData>
    <row r="1" spans="1:6" x14ac:dyDescent="0.25">
      <c r="A1" t="s">
        <v>2</v>
      </c>
      <c r="B1" t="s">
        <v>3</v>
      </c>
    </row>
    <row r="2" spans="1:6" x14ac:dyDescent="0.25">
      <c r="A2" s="3">
        <v>1</v>
      </c>
      <c r="E2" s="3">
        <f>A2/(10^4)</f>
        <v>1E-4</v>
      </c>
      <c r="F2" t="s">
        <v>4</v>
      </c>
    </row>
    <row r="3" spans="1:6" x14ac:dyDescent="0.25">
      <c r="E3" s="3">
        <f>A2</f>
        <v>1</v>
      </c>
      <c r="F3" t="s">
        <v>5</v>
      </c>
    </row>
    <row r="4" spans="1:6" x14ac:dyDescent="0.25">
      <c r="E4" s="3">
        <f>A2*1000</f>
        <v>1000</v>
      </c>
      <c r="F4" t="s">
        <v>6</v>
      </c>
    </row>
    <row r="5" spans="1:6" x14ac:dyDescent="0.25">
      <c r="E5" s="3">
        <f>A2*1000000</f>
        <v>1000000</v>
      </c>
      <c r="F5" t="s">
        <v>7</v>
      </c>
    </row>
    <row r="6" spans="1:6" x14ac:dyDescent="0.25">
      <c r="E6" s="3">
        <f>A2*24606000000000</f>
        <v>24606000000000</v>
      </c>
      <c r="F6" t="s">
        <v>8</v>
      </c>
    </row>
    <row r="7" spans="1:6" x14ac:dyDescent="0.25">
      <c r="E7" s="3">
        <f>A2/24465800</f>
        <v>4.0873382435890097E-8</v>
      </c>
      <c r="F7" t="s">
        <v>9</v>
      </c>
    </row>
    <row r="9" spans="1:6" x14ac:dyDescent="0.25">
      <c r="A9" t="s">
        <v>12</v>
      </c>
      <c r="B9" t="s">
        <v>3</v>
      </c>
    </row>
    <row r="10" spans="1:6" x14ac:dyDescent="0.25">
      <c r="A10">
        <v>1</v>
      </c>
      <c r="E10">
        <f>A10</f>
        <v>1</v>
      </c>
      <c r="F10" t="s">
        <v>11</v>
      </c>
    </row>
    <row r="11" spans="1:6" x14ac:dyDescent="0.25">
      <c r="E11">
        <f>A10*101.325</f>
        <v>101.325</v>
      </c>
      <c r="F11" t="s">
        <v>13</v>
      </c>
    </row>
    <row r="12" spans="1:6" x14ac:dyDescent="0.25">
      <c r="E12">
        <f>A10*101325</f>
        <v>101325</v>
      </c>
      <c r="F12" t="s">
        <v>14</v>
      </c>
    </row>
    <row r="13" spans="1:6" x14ac:dyDescent="0.25">
      <c r="E13">
        <f>A10*1013.25</f>
        <v>1013.25</v>
      </c>
      <c r="F13" t="s">
        <v>18</v>
      </c>
    </row>
    <row r="14" spans="1:6" x14ac:dyDescent="0.25">
      <c r="E14">
        <f>A10*1.01325</f>
        <v>1.01325</v>
      </c>
      <c r="F14" t="s">
        <v>15</v>
      </c>
    </row>
    <row r="15" spans="1:6" x14ac:dyDescent="0.25">
      <c r="E15">
        <f>A10*14.6959</f>
        <v>14.6959</v>
      </c>
      <c r="F15" t="s">
        <v>20</v>
      </c>
    </row>
    <row r="16" spans="1:6" x14ac:dyDescent="0.25">
      <c r="E16">
        <f>A10*760</f>
        <v>760</v>
      </c>
      <c r="F16" t="s">
        <v>16</v>
      </c>
    </row>
    <row r="17" spans="5:6" x14ac:dyDescent="0.25">
      <c r="E17">
        <f>A10*29.9213</f>
        <v>29.921299999999999</v>
      </c>
      <c r="F17" t="s">
        <v>17</v>
      </c>
    </row>
    <row r="18" spans="5:6" x14ac:dyDescent="0.25">
      <c r="E18">
        <f>A10*1013000</f>
        <v>1013000</v>
      </c>
      <c r="F18" t="s">
        <v>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Option Button 10">
              <controlPr defaultSize="0" autoFill="0" autoLine="0" autoPict="0" macro="[0]!Percent_Click">
                <anchor moveWithCells="1">
                  <from>
                    <xdr:col>1</xdr:col>
                    <xdr:colOff>0</xdr:colOff>
                    <xdr:row>0</xdr:row>
                    <xdr:rowOff>180975</xdr:rowOff>
                  </from>
                  <to>
                    <xdr:col>3</xdr:col>
                    <xdr:colOff>228600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Option Button 11">
              <controlPr defaultSize="0" autoFill="0" autoLine="0" autoPict="0" macro="[0]!ppm_Click">
                <anchor mov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3</xdr:col>
                    <xdr:colOff>228600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Option Button 12">
              <controlPr defaultSize="0" autoFill="0" autoLine="0" autoPict="0" macro="[0]!ppb_Click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228600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Option Button 13">
              <controlPr defaultSize="0" autoFill="0" autoLine="0" autoPict="0" macro="[0]!ppt_Click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228600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8" name="Option Button 14">
              <controlPr defaultSize="0" autoFill="0" autoLine="0" autoPict="0" macro="[0]!Moleculescm3_Click">
                <anchor moveWithCells="1">
                  <from>
                    <xdr:col>1</xdr:col>
                    <xdr:colOff>0</xdr:colOff>
                    <xdr:row>4</xdr:row>
                    <xdr:rowOff>180975</xdr:rowOff>
                  </from>
                  <to>
                    <xdr:col>3</xdr:col>
                    <xdr:colOff>228600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9" name="Option Button 15">
              <controlPr defaultSize="0" autoFill="0" autoLine="0" autoPict="0" macro="[0]!molL_Click">
                <anchor moveWithCells="1">
                  <from>
                    <xdr:col>1</xdr:col>
                    <xdr:colOff>0</xdr:colOff>
                    <xdr:row>5</xdr:row>
                    <xdr:rowOff>180975</xdr:rowOff>
                  </from>
                  <to>
                    <xdr:col>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Option Button 16">
              <controlPr defaultSize="0" autoFill="0" autoLine="0" autoPict="0" macro="[0]!atm_Click">
                <anchor moveWithCells="1">
                  <from>
                    <xdr:col>1</xdr:col>
                    <xdr:colOff>0</xdr:colOff>
                    <xdr:row>8</xdr:row>
                    <xdr:rowOff>171450</xdr:rowOff>
                  </from>
                  <to>
                    <xdr:col>2</xdr:col>
                    <xdr:colOff>152400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1" name="Option Button 17">
              <controlPr defaultSize="0" autoFill="0" autoLine="0" autoPict="0" macro="[0]!kPa_Click">
                <anchor moveWithCells="1">
                  <from>
                    <xdr:col>0</xdr:col>
                    <xdr:colOff>904875</xdr:colOff>
                    <xdr:row>9</xdr:row>
                    <xdr:rowOff>171450</xdr:rowOff>
                  </from>
                  <to>
                    <xdr:col>2</xdr:col>
                    <xdr:colOff>142875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2" name="Option Button 18">
              <controlPr defaultSize="0" autoFill="0" autoLine="0" autoPict="0" macro="[0]!Pa_Click">
                <anchor moveWithCells="1">
                  <from>
                    <xdr:col>0</xdr:col>
                    <xdr:colOff>904875</xdr:colOff>
                    <xdr:row>10</xdr:row>
                    <xdr:rowOff>171450</xdr:rowOff>
                  </from>
                  <to>
                    <xdr:col>2</xdr:col>
                    <xdr:colOff>142875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3" name="Option Button 19">
              <controlPr defaultSize="0" autoFill="0" autoLine="0" autoPict="0" macro="[0]!hPa_Click">
                <anchor moveWithCells="1">
                  <from>
                    <xdr:col>0</xdr:col>
                    <xdr:colOff>904875</xdr:colOff>
                    <xdr:row>11</xdr:row>
                    <xdr:rowOff>171450</xdr:rowOff>
                  </from>
                  <to>
                    <xdr:col>2</xdr:col>
                    <xdr:colOff>142875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4" name="Option Button 20">
              <controlPr defaultSize="0" autoFill="0" autoLine="0" autoPict="0" macro="[0]!bar_Click">
                <anchor moveWithCells="1">
                  <from>
                    <xdr:col>0</xdr:col>
                    <xdr:colOff>904875</xdr:colOff>
                    <xdr:row>12</xdr:row>
                    <xdr:rowOff>180975</xdr:rowOff>
                  </from>
                  <to>
                    <xdr:col>2</xdr:col>
                    <xdr:colOff>142875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5" name="Option Button 22">
              <controlPr defaultSize="0" autoFill="0" autoLine="0" autoPict="0" macro="[0]!PSI_Click">
                <anchor moveWithCells="1">
                  <from>
                    <xdr:col>0</xdr:col>
                    <xdr:colOff>904875</xdr:colOff>
                    <xdr:row>13</xdr:row>
                    <xdr:rowOff>161925</xdr:rowOff>
                  </from>
                  <to>
                    <xdr:col>2</xdr:col>
                    <xdr:colOff>142875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6" name="Option Button 23">
              <controlPr defaultSize="0" autoFill="0" autoLine="0" autoPict="0" macro="[0]!mmHg_Click">
                <anchor moveWithCells="1">
                  <from>
                    <xdr:col>0</xdr:col>
                    <xdr:colOff>904875</xdr:colOff>
                    <xdr:row>14</xdr:row>
                    <xdr:rowOff>152400</xdr:rowOff>
                  </from>
                  <to>
                    <xdr:col>2</xdr:col>
                    <xdr:colOff>142875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7" name="Option Button 24">
              <controlPr defaultSize="0" autoFill="0" autoLine="0" autoPict="0" macro="[0]!inHg_Click">
                <anchor moveWithCells="1">
                  <from>
                    <xdr:col>0</xdr:col>
                    <xdr:colOff>904875</xdr:colOff>
                    <xdr:row>15</xdr:row>
                    <xdr:rowOff>152400</xdr:rowOff>
                  </from>
                  <to>
                    <xdr:col>2</xdr:col>
                    <xdr:colOff>142875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8" name="Option Button 25">
              <controlPr defaultSize="0" autoFill="0" autoLine="0" autoPict="0" macro="[0]!barye_Click">
                <anchor moveWithCells="1">
                  <from>
                    <xdr:col>0</xdr:col>
                    <xdr:colOff>904875</xdr:colOff>
                    <xdr:row>16</xdr:row>
                    <xdr:rowOff>152400</xdr:rowOff>
                  </from>
                  <to>
                    <xdr:col>2</xdr:col>
                    <xdr:colOff>142875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L28"/>
  <sheetViews>
    <sheetView workbookViewId="0">
      <selection activeCell="G24" sqref="G24"/>
    </sheetView>
  </sheetViews>
  <sheetFormatPr defaultRowHeight="15" x14ac:dyDescent="0.25"/>
  <cols>
    <col min="1" max="1" width="0.5703125" customWidth="1"/>
    <col min="2" max="2" width="10.140625" customWidth="1"/>
    <col min="3" max="3" width="10.7109375" customWidth="1"/>
    <col min="8" max="8" width="14.7109375" bestFit="1" customWidth="1"/>
  </cols>
  <sheetData>
    <row r="1" spans="2:12" ht="2.25" customHeight="1" thickBot="1" x14ac:dyDescent="0.3"/>
    <row r="2" spans="2:12" ht="15.75" thickTop="1" x14ac:dyDescent="0.25">
      <c r="B2" s="7" t="s">
        <v>21</v>
      </c>
      <c r="C2" s="8">
        <v>2</v>
      </c>
      <c r="D2" s="8"/>
      <c r="E2" s="8"/>
      <c r="F2" s="9"/>
      <c r="I2" t="s">
        <v>41</v>
      </c>
      <c r="L2" s="27"/>
    </row>
    <row r="3" spans="2:12" ht="17.25" customHeight="1" x14ac:dyDescent="0.35">
      <c r="B3" s="10" t="s">
        <v>22</v>
      </c>
      <c r="C3">
        <v>0.6</v>
      </c>
      <c r="D3" t="s">
        <v>26</v>
      </c>
      <c r="F3" s="11"/>
      <c r="I3" s="48" t="s">
        <v>42</v>
      </c>
      <c r="J3" s="48"/>
      <c r="K3" s="48"/>
      <c r="L3" s="28"/>
    </row>
    <row r="4" spans="2:12" ht="18.75" x14ac:dyDescent="0.35">
      <c r="B4" s="10" t="s">
        <v>23</v>
      </c>
      <c r="C4" s="3">
        <v>1.9999999999999999E-7</v>
      </c>
      <c r="D4" t="s">
        <v>27</v>
      </c>
      <c r="F4" s="11"/>
      <c r="H4" s="24"/>
      <c r="I4" s="48"/>
      <c r="J4" s="48"/>
      <c r="K4" s="48"/>
      <c r="L4" s="28"/>
    </row>
    <row r="5" spans="2:12" ht="18" x14ac:dyDescent="0.35">
      <c r="B5" s="10" t="s">
        <v>24</v>
      </c>
      <c r="C5">
        <v>3</v>
      </c>
      <c r="D5" t="s">
        <v>28</v>
      </c>
      <c r="F5" s="11"/>
      <c r="L5" s="28"/>
    </row>
    <row r="6" spans="2:12" ht="18.75" thickBot="1" x14ac:dyDescent="0.4">
      <c r="B6" s="12" t="s">
        <v>25</v>
      </c>
      <c r="C6" s="13">
        <v>1.8</v>
      </c>
      <c r="D6" s="13" t="s">
        <v>29</v>
      </c>
      <c r="E6" s="13"/>
      <c r="F6" s="14"/>
      <c r="L6" s="28"/>
    </row>
    <row r="7" spans="2:12" ht="16.5" thickTop="1" thickBot="1" x14ac:dyDescent="0.3">
      <c r="L7" s="28"/>
    </row>
    <row r="8" spans="2:12" ht="15.75" customHeight="1" thickTop="1" x14ac:dyDescent="0.25">
      <c r="B8" s="44" t="s">
        <v>31</v>
      </c>
      <c r="C8" s="46" t="s">
        <v>30</v>
      </c>
      <c r="D8" s="16"/>
      <c r="E8" s="16"/>
      <c r="F8" s="16"/>
      <c r="G8" s="17"/>
      <c r="L8" s="28"/>
    </row>
    <row r="9" spans="2:12" x14ac:dyDescent="0.25">
      <c r="B9" s="45"/>
      <c r="C9" s="47"/>
      <c r="D9" s="6"/>
      <c r="E9" s="6"/>
      <c r="F9" s="6"/>
      <c r="G9" s="18"/>
      <c r="L9" s="28"/>
    </row>
    <row r="10" spans="2:12" x14ac:dyDescent="0.25">
      <c r="B10" s="19"/>
      <c r="C10" s="15" t="s">
        <v>38</v>
      </c>
      <c r="E10" t="s">
        <v>39</v>
      </c>
      <c r="G10" s="20"/>
      <c r="L10" s="28"/>
    </row>
    <row r="11" spans="2:12" ht="17.25" x14ac:dyDescent="0.25">
      <c r="B11" s="21" t="s">
        <v>32</v>
      </c>
      <c r="C11" s="5" t="s">
        <v>43</v>
      </c>
      <c r="D11" t="s">
        <v>6</v>
      </c>
      <c r="E11" s="3" t="s">
        <v>43</v>
      </c>
      <c r="F11" t="s">
        <v>40</v>
      </c>
      <c r="G11" s="20"/>
      <c r="L11" s="28"/>
    </row>
    <row r="12" spans="2:12" ht="17.25" x14ac:dyDescent="0.25">
      <c r="B12" s="21" t="s">
        <v>33</v>
      </c>
      <c r="C12" s="5" t="s">
        <v>43</v>
      </c>
      <c r="D12" t="s">
        <v>6</v>
      </c>
      <c r="E12" s="3" t="s">
        <v>43</v>
      </c>
      <c r="F12" t="s">
        <v>40</v>
      </c>
      <c r="G12" s="20"/>
      <c r="L12" s="28"/>
    </row>
    <row r="13" spans="2:12" ht="17.25" x14ac:dyDescent="0.25">
      <c r="B13" s="21" t="s">
        <v>34</v>
      </c>
      <c r="C13" s="5" t="s">
        <v>43</v>
      </c>
      <c r="D13" t="s">
        <v>6</v>
      </c>
      <c r="E13" s="3" t="s">
        <v>43</v>
      </c>
      <c r="F13" t="s">
        <v>40</v>
      </c>
      <c r="G13" s="20"/>
      <c r="L13" s="28"/>
    </row>
    <row r="14" spans="2:12" ht="17.25" x14ac:dyDescent="0.25">
      <c r="B14" s="21" t="s">
        <v>35</v>
      </c>
      <c r="C14" s="5" t="s">
        <v>43</v>
      </c>
      <c r="D14" t="s">
        <v>6</v>
      </c>
      <c r="E14" s="3" t="s">
        <v>43</v>
      </c>
      <c r="F14" t="s">
        <v>40</v>
      </c>
      <c r="G14" s="20"/>
      <c r="L14" s="28"/>
    </row>
    <row r="15" spans="2:12" ht="17.25" x14ac:dyDescent="0.25">
      <c r="B15" s="21" t="s">
        <v>36</v>
      </c>
      <c r="C15" s="5" t="s">
        <v>43</v>
      </c>
      <c r="D15" t="s">
        <v>6</v>
      </c>
      <c r="E15" s="3" t="s">
        <v>43</v>
      </c>
      <c r="F15" t="s">
        <v>40</v>
      </c>
      <c r="G15" s="20"/>
      <c r="L15" s="28"/>
    </row>
    <row r="16" spans="2:12" ht="18" thickBot="1" x14ac:dyDescent="0.3">
      <c r="B16" s="22" t="s">
        <v>37</v>
      </c>
      <c r="C16" s="26" t="s">
        <v>43</v>
      </c>
      <c r="D16" s="2" t="s">
        <v>6</v>
      </c>
      <c r="E16" s="25" t="s">
        <v>43</v>
      </c>
      <c r="F16" s="2" t="s">
        <v>40</v>
      </c>
      <c r="G16" s="23"/>
      <c r="L16" s="28"/>
    </row>
    <row r="17" spans="12:12" ht="15.75" thickTop="1" x14ac:dyDescent="0.25">
      <c r="L17" s="28"/>
    </row>
    <row r="18" spans="12:12" x14ac:dyDescent="0.25">
      <c r="L18" s="28"/>
    </row>
    <row r="19" spans="12:12" x14ac:dyDescent="0.25">
      <c r="L19" s="28"/>
    </row>
    <row r="20" spans="12:12" x14ac:dyDescent="0.25">
      <c r="L20" s="28"/>
    </row>
    <row r="21" spans="12:12" x14ac:dyDescent="0.25">
      <c r="L21" s="28"/>
    </row>
    <row r="22" spans="12:12" x14ac:dyDescent="0.25">
      <c r="L22" s="28"/>
    </row>
    <row r="23" spans="12:12" x14ac:dyDescent="0.25">
      <c r="L23" s="28"/>
    </row>
    <row r="24" spans="12:12" x14ac:dyDescent="0.25">
      <c r="L24" s="28"/>
    </row>
    <row r="25" spans="12:12" x14ac:dyDescent="0.25">
      <c r="L25" s="28"/>
    </row>
    <row r="26" spans="12:12" x14ac:dyDescent="0.25">
      <c r="L26" s="28"/>
    </row>
    <row r="27" spans="12:12" x14ac:dyDescent="0.25">
      <c r="L27" s="28"/>
    </row>
    <row r="28" spans="12:12" x14ac:dyDescent="0.25">
      <c r="L28" s="28"/>
    </row>
  </sheetData>
  <mergeCells count="3">
    <mergeCell ref="B8:B9"/>
    <mergeCell ref="C8:C9"/>
    <mergeCell ref="I3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10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D11"/>
  <sheetViews>
    <sheetView workbookViewId="0">
      <selection activeCell="K18" sqref="K18"/>
    </sheetView>
  </sheetViews>
  <sheetFormatPr defaultRowHeight="15" x14ac:dyDescent="0.25"/>
  <cols>
    <col min="1" max="1" width="0.5703125" customWidth="1"/>
    <col min="2" max="2" width="18.5703125" customWidth="1"/>
  </cols>
  <sheetData>
    <row r="1" spans="2:4" ht="1.5" customHeight="1" x14ac:dyDescent="0.25"/>
    <row r="2" spans="2:4" x14ac:dyDescent="0.25">
      <c r="B2" s="29" t="s">
        <v>70</v>
      </c>
      <c r="C2" s="42">
        <v>97000</v>
      </c>
      <c r="D2" s="30" t="s">
        <v>6</v>
      </c>
    </row>
    <row r="3" spans="2:4" x14ac:dyDescent="0.25">
      <c r="B3" s="31" t="s">
        <v>71</v>
      </c>
      <c r="C3">
        <v>50</v>
      </c>
      <c r="D3" s="32" t="s">
        <v>74</v>
      </c>
    </row>
    <row r="4" spans="2:4" x14ac:dyDescent="0.25">
      <c r="B4" s="31"/>
      <c r="D4" s="32"/>
    </row>
    <row r="5" spans="2:4" x14ac:dyDescent="0.25">
      <c r="B5" s="31" t="s">
        <v>72</v>
      </c>
      <c r="C5">
        <v>0</v>
      </c>
      <c r="D5" s="32" t="s">
        <v>6</v>
      </c>
    </row>
    <row r="6" spans="2:4" x14ac:dyDescent="0.25">
      <c r="B6" s="33" t="s">
        <v>73</v>
      </c>
      <c r="C6" s="6">
        <v>10000</v>
      </c>
      <c r="D6" s="34" t="s">
        <v>74</v>
      </c>
    </row>
    <row r="8" spans="2:4" ht="15.75" thickBot="1" x14ac:dyDescent="0.3"/>
    <row r="9" spans="2:4" ht="15.75" thickTop="1" x14ac:dyDescent="0.25">
      <c r="B9" s="35" t="s">
        <v>75</v>
      </c>
      <c r="C9" s="43">
        <f>($C$2*$C$3/$C$10)+($C$5*$C$6/$C$10)</f>
        <v>482.58706467661693</v>
      </c>
      <c r="D9" s="17" t="s">
        <v>6</v>
      </c>
    </row>
    <row r="10" spans="2:4" ht="15.75" thickBot="1" x14ac:dyDescent="0.3">
      <c r="B10" s="22" t="s">
        <v>76</v>
      </c>
      <c r="C10" s="2">
        <f>$C$6+$C$3</f>
        <v>10050</v>
      </c>
      <c r="D10" s="23" t="s">
        <v>74</v>
      </c>
    </row>
    <row r="11" spans="2:4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FlowConc_Button1_Click">
                <anchor moveWithCells="1" sizeWithCells="1">
                  <from>
                    <xdr:col>4</xdr:col>
                    <xdr:colOff>238125</xdr:colOff>
                    <xdr:row>1</xdr:row>
                    <xdr:rowOff>57150</xdr:rowOff>
                  </from>
                  <to>
                    <xdr:col>6</xdr:col>
                    <xdr:colOff>171450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2327"/>
  <sheetViews>
    <sheetView workbookViewId="0">
      <selection activeCell="D6" sqref="D6"/>
    </sheetView>
  </sheetViews>
  <sheetFormatPr defaultRowHeight="15" x14ac:dyDescent="0.25"/>
  <cols>
    <col min="2" max="2" width="9.7109375" bestFit="1" customWidth="1"/>
  </cols>
  <sheetData>
    <row r="1" spans="1:7" ht="15.75" thickBot="1" x14ac:dyDescent="0.3"/>
    <row r="2" spans="1:7" x14ac:dyDescent="0.25">
      <c r="A2" t="s">
        <v>82</v>
      </c>
      <c r="D2" s="27"/>
    </row>
    <row r="3" spans="1:7" ht="15.75" thickBot="1" x14ac:dyDescent="0.3">
      <c r="A3" t="s">
        <v>83</v>
      </c>
      <c r="D3" s="38"/>
    </row>
    <row r="4" spans="1:7" x14ac:dyDescent="0.25">
      <c r="F4" t="s">
        <v>86</v>
      </c>
    </row>
    <row r="5" spans="1:7" x14ac:dyDescent="0.25">
      <c r="A5" t="s">
        <v>88</v>
      </c>
      <c r="B5" t="s">
        <v>84</v>
      </c>
      <c r="C5" t="s">
        <v>85</v>
      </c>
      <c r="F5" t="s">
        <v>4</v>
      </c>
      <c r="G5" t="s">
        <v>87</v>
      </c>
    </row>
    <row r="6" spans="1:7" x14ac:dyDescent="0.25">
      <c r="A6" s="39">
        <v>0.6</v>
      </c>
    </row>
    <row r="7" spans="1:7" x14ac:dyDescent="0.25">
      <c r="A7" s="39"/>
    </row>
    <row r="8" spans="1:7" x14ac:dyDescent="0.25">
      <c r="A8" s="39"/>
    </row>
    <row r="9" spans="1:7" x14ac:dyDescent="0.25">
      <c r="A9" s="39"/>
    </row>
    <row r="10" spans="1:7" x14ac:dyDescent="0.25">
      <c r="A10" s="39"/>
    </row>
    <row r="11" spans="1:7" x14ac:dyDescent="0.25">
      <c r="A11" s="39"/>
    </row>
    <row r="12" spans="1:7" x14ac:dyDescent="0.25">
      <c r="A12" s="39"/>
    </row>
    <row r="13" spans="1:7" x14ac:dyDescent="0.25">
      <c r="A13" s="39"/>
    </row>
    <row r="14" spans="1:7" x14ac:dyDescent="0.25">
      <c r="A14" s="39"/>
    </row>
    <row r="15" spans="1:7" x14ac:dyDescent="0.25">
      <c r="A15" s="39"/>
    </row>
    <row r="16" spans="1:7" x14ac:dyDescent="0.25">
      <c r="A16" s="39"/>
    </row>
    <row r="17" spans="1:1" x14ac:dyDescent="0.25">
      <c r="A17" s="39"/>
    </row>
    <row r="18" spans="1:1" x14ac:dyDescent="0.25">
      <c r="A18" s="39"/>
    </row>
    <row r="19" spans="1:1" x14ac:dyDescent="0.25">
      <c r="A19" s="39"/>
    </row>
    <row r="20" spans="1:1" x14ac:dyDescent="0.25">
      <c r="A20" s="39"/>
    </row>
    <row r="21" spans="1:1" x14ac:dyDescent="0.25">
      <c r="A21" s="39"/>
    </row>
    <row r="22" spans="1:1" x14ac:dyDescent="0.25">
      <c r="A22" s="39"/>
    </row>
    <row r="23" spans="1:1" x14ac:dyDescent="0.25">
      <c r="A23" s="39"/>
    </row>
    <row r="24" spans="1:1" x14ac:dyDescent="0.25">
      <c r="A24" s="39"/>
    </row>
    <row r="25" spans="1:1" x14ac:dyDescent="0.25">
      <c r="A25" s="39"/>
    </row>
    <row r="26" spans="1:1" x14ac:dyDescent="0.25">
      <c r="A26" s="39"/>
    </row>
    <row r="27" spans="1:1" x14ac:dyDescent="0.25">
      <c r="A27" s="39"/>
    </row>
    <row r="28" spans="1:1" x14ac:dyDescent="0.25">
      <c r="A28" s="39"/>
    </row>
    <row r="29" spans="1:1" x14ac:dyDescent="0.25">
      <c r="A29" s="39"/>
    </row>
    <row r="30" spans="1:1" x14ac:dyDescent="0.25">
      <c r="A30" s="39"/>
    </row>
    <row r="31" spans="1:1" x14ac:dyDescent="0.25">
      <c r="A31" s="39"/>
    </row>
    <row r="32" spans="1:1" x14ac:dyDescent="0.25">
      <c r="A32" s="39"/>
    </row>
    <row r="33" spans="1:1" x14ac:dyDescent="0.25">
      <c r="A33" s="39"/>
    </row>
    <row r="34" spans="1:1" x14ac:dyDescent="0.25">
      <c r="A34" s="39"/>
    </row>
    <row r="35" spans="1:1" x14ac:dyDescent="0.25">
      <c r="A35" s="39"/>
    </row>
    <row r="36" spans="1:1" x14ac:dyDescent="0.25">
      <c r="A36" s="39"/>
    </row>
    <row r="37" spans="1:1" x14ac:dyDescent="0.25">
      <c r="A37" s="39"/>
    </row>
    <row r="38" spans="1:1" x14ac:dyDescent="0.25">
      <c r="A38" s="39"/>
    </row>
    <row r="39" spans="1:1" x14ac:dyDescent="0.25">
      <c r="A39" s="39"/>
    </row>
    <row r="40" spans="1:1" x14ac:dyDescent="0.25">
      <c r="A40" s="39"/>
    </row>
    <row r="41" spans="1:1" x14ac:dyDescent="0.25">
      <c r="A41" s="39"/>
    </row>
    <row r="42" spans="1:1" x14ac:dyDescent="0.25">
      <c r="A42" s="39"/>
    </row>
    <row r="43" spans="1:1" x14ac:dyDescent="0.25">
      <c r="A43" s="39"/>
    </row>
    <row r="44" spans="1:1" x14ac:dyDescent="0.25">
      <c r="A44" s="39"/>
    </row>
    <row r="45" spans="1:1" x14ac:dyDescent="0.25">
      <c r="A45" s="39"/>
    </row>
    <row r="46" spans="1:1" x14ac:dyDescent="0.25">
      <c r="A46" s="39"/>
    </row>
    <row r="47" spans="1:1" x14ac:dyDescent="0.25">
      <c r="A47" s="39"/>
    </row>
    <row r="48" spans="1:1" x14ac:dyDescent="0.25">
      <c r="A48" s="39"/>
    </row>
    <row r="49" spans="1:1" x14ac:dyDescent="0.25">
      <c r="A49" s="39"/>
    </row>
    <row r="50" spans="1:1" x14ac:dyDescent="0.25">
      <c r="A50" s="39"/>
    </row>
    <row r="51" spans="1:1" x14ac:dyDescent="0.25">
      <c r="A51" s="39"/>
    </row>
    <row r="52" spans="1:1" x14ac:dyDescent="0.25">
      <c r="A52" s="39"/>
    </row>
    <row r="53" spans="1:1" x14ac:dyDescent="0.25">
      <c r="A53" s="39"/>
    </row>
    <row r="54" spans="1:1" x14ac:dyDescent="0.25">
      <c r="A54" s="39"/>
    </row>
    <row r="55" spans="1:1" x14ac:dyDescent="0.25">
      <c r="A55" s="39"/>
    </row>
    <row r="56" spans="1:1" x14ac:dyDescent="0.25">
      <c r="A56" s="39"/>
    </row>
    <row r="57" spans="1:1" x14ac:dyDescent="0.25">
      <c r="A57" s="39"/>
    </row>
    <row r="58" spans="1:1" x14ac:dyDescent="0.25">
      <c r="A58" s="39"/>
    </row>
    <row r="59" spans="1:1" x14ac:dyDescent="0.25">
      <c r="A59" s="39"/>
    </row>
    <row r="60" spans="1:1" x14ac:dyDescent="0.25">
      <c r="A60" s="39"/>
    </row>
    <row r="61" spans="1:1" x14ac:dyDescent="0.25">
      <c r="A61" s="39"/>
    </row>
    <row r="62" spans="1:1" x14ac:dyDescent="0.25">
      <c r="A62" s="39"/>
    </row>
    <row r="63" spans="1:1" x14ac:dyDescent="0.25">
      <c r="A63" s="39"/>
    </row>
    <row r="64" spans="1:1" x14ac:dyDescent="0.25">
      <c r="A64" s="39"/>
    </row>
    <row r="65" spans="1:1" x14ac:dyDescent="0.25">
      <c r="A65" s="39"/>
    </row>
    <row r="66" spans="1:1" x14ac:dyDescent="0.25">
      <c r="A66" s="39"/>
    </row>
    <row r="67" spans="1:1" x14ac:dyDescent="0.25">
      <c r="A67" s="39"/>
    </row>
    <row r="68" spans="1:1" x14ac:dyDescent="0.25">
      <c r="A68" s="39"/>
    </row>
    <row r="69" spans="1:1" x14ac:dyDescent="0.25">
      <c r="A69" s="39"/>
    </row>
    <row r="70" spans="1:1" x14ac:dyDescent="0.25">
      <c r="A70" s="39"/>
    </row>
    <row r="71" spans="1:1" x14ac:dyDescent="0.25">
      <c r="A71" s="39"/>
    </row>
    <row r="72" spans="1:1" x14ac:dyDescent="0.25">
      <c r="A72" s="39"/>
    </row>
    <row r="73" spans="1:1" x14ac:dyDescent="0.25">
      <c r="A73" s="39"/>
    </row>
    <row r="74" spans="1:1" x14ac:dyDescent="0.25">
      <c r="A74" s="39"/>
    </row>
    <row r="75" spans="1:1" x14ac:dyDescent="0.25">
      <c r="A75" s="39"/>
    </row>
    <row r="76" spans="1:1" x14ac:dyDescent="0.25">
      <c r="A76" s="39"/>
    </row>
    <row r="77" spans="1:1" x14ac:dyDescent="0.25">
      <c r="A77" s="39"/>
    </row>
    <row r="78" spans="1:1" x14ac:dyDescent="0.25">
      <c r="A78" s="39"/>
    </row>
    <row r="79" spans="1:1" x14ac:dyDescent="0.25">
      <c r="A79" s="39"/>
    </row>
    <row r="80" spans="1:1" x14ac:dyDescent="0.25">
      <c r="A80" s="39"/>
    </row>
    <row r="81" spans="1:1" x14ac:dyDescent="0.25">
      <c r="A81" s="39"/>
    </row>
    <row r="82" spans="1:1" x14ac:dyDescent="0.25">
      <c r="A82" s="39"/>
    </row>
    <row r="83" spans="1:1" x14ac:dyDescent="0.25">
      <c r="A83" s="39"/>
    </row>
    <row r="84" spans="1:1" x14ac:dyDescent="0.25">
      <c r="A84" s="39"/>
    </row>
    <row r="85" spans="1:1" x14ac:dyDescent="0.25">
      <c r="A85" s="39"/>
    </row>
    <row r="86" spans="1:1" x14ac:dyDescent="0.25">
      <c r="A86" s="39"/>
    </row>
    <row r="87" spans="1:1" x14ac:dyDescent="0.25">
      <c r="A87" s="39"/>
    </row>
    <row r="88" spans="1:1" x14ac:dyDescent="0.25">
      <c r="A88" s="39"/>
    </row>
    <row r="89" spans="1:1" x14ac:dyDescent="0.25">
      <c r="A89" s="39"/>
    </row>
    <row r="90" spans="1:1" x14ac:dyDescent="0.25">
      <c r="A90" s="39"/>
    </row>
    <row r="91" spans="1:1" x14ac:dyDescent="0.25">
      <c r="A91" s="39"/>
    </row>
    <row r="92" spans="1:1" x14ac:dyDescent="0.25">
      <c r="A92" s="39"/>
    </row>
    <row r="93" spans="1:1" x14ac:dyDescent="0.25">
      <c r="A93" s="39"/>
    </row>
    <row r="94" spans="1:1" x14ac:dyDescent="0.25">
      <c r="A94" s="39"/>
    </row>
    <row r="95" spans="1:1" x14ac:dyDescent="0.25">
      <c r="A95" s="39"/>
    </row>
    <row r="96" spans="1:1" x14ac:dyDescent="0.25">
      <c r="A96" s="39"/>
    </row>
    <row r="97" spans="1:1" x14ac:dyDescent="0.25">
      <c r="A97" s="39"/>
    </row>
    <row r="98" spans="1:1" x14ac:dyDescent="0.25">
      <c r="A98" s="39"/>
    </row>
    <row r="99" spans="1:1" x14ac:dyDescent="0.25">
      <c r="A99" s="39"/>
    </row>
    <row r="100" spans="1:1" x14ac:dyDescent="0.25">
      <c r="A100" s="39"/>
    </row>
    <row r="101" spans="1:1" x14ac:dyDescent="0.25">
      <c r="A101" s="39"/>
    </row>
    <row r="102" spans="1:1" x14ac:dyDescent="0.25">
      <c r="A102" s="39"/>
    </row>
    <row r="103" spans="1:1" x14ac:dyDescent="0.25">
      <c r="A103" s="39"/>
    </row>
    <row r="104" spans="1:1" x14ac:dyDescent="0.25">
      <c r="A104" s="39"/>
    </row>
    <row r="105" spans="1:1" x14ac:dyDescent="0.25">
      <c r="A105" s="39"/>
    </row>
    <row r="106" spans="1:1" x14ac:dyDescent="0.25">
      <c r="A106" s="39"/>
    </row>
    <row r="107" spans="1:1" x14ac:dyDescent="0.25">
      <c r="A107" s="39"/>
    </row>
    <row r="108" spans="1:1" x14ac:dyDescent="0.25">
      <c r="A108" s="39"/>
    </row>
    <row r="109" spans="1:1" x14ac:dyDescent="0.25">
      <c r="A109" s="39"/>
    </row>
    <row r="110" spans="1:1" x14ac:dyDescent="0.25">
      <c r="A110" s="39"/>
    </row>
    <row r="111" spans="1:1" x14ac:dyDescent="0.25">
      <c r="A111" s="39"/>
    </row>
    <row r="112" spans="1:1" x14ac:dyDescent="0.25">
      <c r="A112" s="39"/>
    </row>
    <row r="113" spans="1:1" x14ac:dyDescent="0.25">
      <c r="A113" s="39"/>
    </row>
    <row r="114" spans="1:1" x14ac:dyDescent="0.25">
      <c r="A114" s="39"/>
    </row>
    <row r="115" spans="1:1" x14ac:dyDescent="0.25">
      <c r="A115" s="39"/>
    </row>
    <row r="116" spans="1:1" x14ac:dyDescent="0.25">
      <c r="A116" s="39"/>
    </row>
    <row r="117" spans="1:1" x14ac:dyDescent="0.25">
      <c r="A117" s="39"/>
    </row>
    <row r="118" spans="1:1" x14ac:dyDescent="0.25">
      <c r="A118" s="39"/>
    </row>
    <row r="119" spans="1:1" x14ac:dyDescent="0.25">
      <c r="A119" s="39"/>
    </row>
    <row r="120" spans="1:1" x14ac:dyDescent="0.25">
      <c r="A120" s="39"/>
    </row>
    <row r="121" spans="1:1" x14ac:dyDescent="0.25">
      <c r="A121" s="39"/>
    </row>
    <row r="122" spans="1:1" x14ac:dyDescent="0.25">
      <c r="A122" s="39"/>
    </row>
    <row r="123" spans="1:1" x14ac:dyDescent="0.25">
      <c r="A123" s="39"/>
    </row>
    <row r="124" spans="1:1" x14ac:dyDescent="0.25">
      <c r="A124" s="39"/>
    </row>
    <row r="125" spans="1:1" x14ac:dyDescent="0.25">
      <c r="A125" s="39"/>
    </row>
    <row r="126" spans="1:1" x14ac:dyDescent="0.25">
      <c r="A126" s="39"/>
    </row>
    <row r="127" spans="1:1" x14ac:dyDescent="0.25">
      <c r="A127" s="39"/>
    </row>
    <row r="128" spans="1:1" x14ac:dyDescent="0.25">
      <c r="A128" s="39"/>
    </row>
    <row r="129" spans="1:1" x14ac:dyDescent="0.25">
      <c r="A129" s="39"/>
    </row>
    <row r="130" spans="1:1" x14ac:dyDescent="0.25">
      <c r="A130" s="39"/>
    </row>
    <row r="131" spans="1:1" x14ac:dyDescent="0.25">
      <c r="A131" s="39"/>
    </row>
    <row r="132" spans="1:1" x14ac:dyDescent="0.25">
      <c r="A132" s="39"/>
    </row>
    <row r="133" spans="1:1" x14ac:dyDescent="0.25">
      <c r="A133" s="39"/>
    </row>
    <row r="134" spans="1:1" x14ac:dyDescent="0.25">
      <c r="A134" s="39"/>
    </row>
    <row r="135" spans="1:1" x14ac:dyDescent="0.25">
      <c r="A135" s="39"/>
    </row>
    <row r="136" spans="1:1" x14ac:dyDescent="0.25">
      <c r="A136" s="39"/>
    </row>
    <row r="137" spans="1:1" x14ac:dyDescent="0.25">
      <c r="A137" s="39"/>
    </row>
    <row r="138" spans="1:1" x14ac:dyDescent="0.25">
      <c r="A138" s="39"/>
    </row>
    <row r="139" spans="1:1" x14ac:dyDescent="0.25">
      <c r="A139" s="39"/>
    </row>
    <row r="140" spans="1:1" x14ac:dyDescent="0.25">
      <c r="A140" s="39"/>
    </row>
    <row r="141" spans="1:1" x14ac:dyDescent="0.25">
      <c r="A141" s="39"/>
    </row>
    <row r="142" spans="1:1" x14ac:dyDescent="0.25">
      <c r="A142" s="39"/>
    </row>
    <row r="143" spans="1:1" x14ac:dyDescent="0.25">
      <c r="A143" s="39"/>
    </row>
    <row r="144" spans="1:1" x14ac:dyDescent="0.25">
      <c r="A144" s="39"/>
    </row>
    <row r="145" spans="1:1" x14ac:dyDescent="0.25">
      <c r="A145" s="39"/>
    </row>
    <row r="146" spans="1:1" x14ac:dyDescent="0.25">
      <c r="A146" s="39"/>
    </row>
    <row r="147" spans="1:1" x14ac:dyDescent="0.25">
      <c r="A147" s="39"/>
    </row>
    <row r="148" spans="1:1" x14ac:dyDescent="0.25">
      <c r="A148" s="39"/>
    </row>
    <row r="149" spans="1:1" x14ac:dyDescent="0.25">
      <c r="A149" s="39"/>
    </row>
    <row r="150" spans="1:1" x14ac:dyDescent="0.25">
      <c r="A150" s="39"/>
    </row>
    <row r="151" spans="1:1" x14ac:dyDescent="0.25">
      <c r="A151" s="39"/>
    </row>
    <row r="152" spans="1:1" x14ac:dyDescent="0.25">
      <c r="A152" s="39"/>
    </row>
    <row r="153" spans="1:1" x14ac:dyDescent="0.25">
      <c r="A153" s="39"/>
    </row>
    <row r="154" spans="1:1" x14ac:dyDescent="0.25">
      <c r="A154" s="39"/>
    </row>
    <row r="155" spans="1:1" x14ac:dyDescent="0.25">
      <c r="A155" s="39"/>
    </row>
    <row r="156" spans="1:1" x14ac:dyDescent="0.25">
      <c r="A156" s="39"/>
    </row>
    <row r="157" spans="1:1" x14ac:dyDescent="0.25">
      <c r="A157" s="39"/>
    </row>
    <row r="158" spans="1:1" x14ac:dyDescent="0.25">
      <c r="A158" s="39"/>
    </row>
    <row r="159" spans="1:1" x14ac:dyDescent="0.25">
      <c r="A159" s="39"/>
    </row>
    <row r="160" spans="1:1" x14ac:dyDescent="0.25">
      <c r="A160" s="39"/>
    </row>
    <row r="161" spans="1:1" x14ac:dyDescent="0.25">
      <c r="A161" s="39"/>
    </row>
    <row r="162" spans="1:1" x14ac:dyDescent="0.25">
      <c r="A162" s="39"/>
    </row>
    <row r="163" spans="1:1" x14ac:dyDescent="0.25">
      <c r="A163" s="39"/>
    </row>
    <row r="164" spans="1:1" x14ac:dyDescent="0.25">
      <c r="A164" s="39"/>
    </row>
    <row r="165" spans="1:1" x14ac:dyDescent="0.25">
      <c r="A165" s="39"/>
    </row>
    <row r="166" spans="1:1" x14ac:dyDescent="0.25">
      <c r="A166" s="39"/>
    </row>
    <row r="167" spans="1:1" x14ac:dyDescent="0.25">
      <c r="A167" s="39"/>
    </row>
    <row r="168" spans="1:1" x14ac:dyDescent="0.25">
      <c r="A168" s="39"/>
    </row>
    <row r="169" spans="1:1" x14ac:dyDescent="0.25">
      <c r="A169" s="39"/>
    </row>
    <row r="170" spans="1:1" x14ac:dyDescent="0.25">
      <c r="A170" s="39"/>
    </row>
    <row r="171" spans="1:1" x14ac:dyDescent="0.25">
      <c r="A171" s="39"/>
    </row>
    <row r="172" spans="1:1" x14ac:dyDescent="0.25">
      <c r="A172" s="39"/>
    </row>
    <row r="173" spans="1:1" x14ac:dyDescent="0.25">
      <c r="A173" s="39"/>
    </row>
    <row r="174" spans="1:1" x14ac:dyDescent="0.25">
      <c r="A174" s="39"/>
    </row>
    <row r="175" spans="1:1" x14ac:dyDescent="0.25">
      <c r="A175" s="39"/>
    </row>
    <row r="176" spans="1:1" x14ac:dyDescent="0.25">
      <c r="A176" s="39"/>
    </row>
    <row r="177" spans="1:1" x14ac:dyDescent="0.25">
      <c r="A177" s="39"/>
    </row>
    <row r="178" spans="1:1" x14ac:dyDescent="0.25">
      <c r="A178" s="39"/>
    </row>
    <row r="179" spans="1:1" x14ac:dyDescent="0.25">
      <c r="A179" s="39"/>
    </row>
    <row r="180" spans="1:1" x14ac:dyDescent="0.25">
      <c r="A180" s="39"/>
    </row>
    <row r="181" spans="1:1" x14ac:dyDescent="0.25">
      <c r="A181" s="39"/>
    </row>
    <row r="182" spans="1:1" x14ac:dyDescent="0.25">
      <c r="A182" s="39"/>
    </row>
    <row r="183" spans="1:1" x14ac:dyDescent="0.25">
      <c r="A183" s="39"/>
    </row>
    <row r="184" spans="1:1" x14ac:dyDescent="0.25">
      <c r="A184" s="39"/>
    </row>
    <row r="185" spans="1:1" x14ac:dyDescent="0.25">
      <c r="A185" s="39"/>
    </row>
    <row r="186" spans="1:1" x14ac:dyDescent="0.25">
      <c r="A186" s="39"/>
    </row>
    <row r="187" spans="1:1" x14ac:dyDescent="0.25">
      <c r="A187" s="39"/>
    </row>
    <row r="188" spans="1:1" x14ac:dyDescent="0.25">
      <c r="A188" s="39"/>
    </row>
    <row r="189" spans="1:1" x14ac:dyDescent="0.25">
      <c r="A189" s="39"/>
    </row>
    <row r="190" spans="1:1" x14ac:dyDescent="0.25">
      <c r="A190" s="39"/>
    </row>
    <row r="191" spans="1:1" x14ac:dyDescent="0.25">
      <c r="A191" s="39"/>
    </row>
    <row r="192" spans="1:1" x14ac:dyDescent="0.25">
      <c r="A192" s="39"/>
    </row>
    <row r="193" spans="1:1" x14ac:dyDescent="0.25">
      <c r="A193" s="39"/>
    </row>
    <row r="194" spans="1:1" x14ac:dyDescent="0.25">
      <c r="A194" s="39"/>
    </row>
    <row r="195" spans="1:1" x14ac:dyDescent="0.25">
      <c r="A195" s="39"/>
    </row>
    <row r="196" spans="1:1" x14ac:dyDescent="0.25">
      <c r="A196" s="39"/>
    </row>
    <row r="197" spans="1:1" x14ac:dyDescent="0.25">
      <c r="A197" s="39"/>
    </row>
    <row r="198" spans="1:1" x14ac:dyDescent="0.25">
      <c r="A198" s="39"/>
    </row>
    <row r="199" spans="1:1" x14ac:dyDescent="0.25">
      <c r="A199" s="39"/>
    </row>
    <row r="200" spans="1:1" x14ac:dyDescent="0.25">
      <c r="A200" s="39"/>
    </row>
    <row r="201" spans="1:1" x14ac:dyDescent="0.25">
      <c r="A201" s="39"/>
    </row>
    <row r="202" spans="1:1" x14ac:dyDescent="0.25">
      <c r="A202" s="39"/>
    </row>
    <row r="203" spans="1:1" x14ac:dyDescent="0.25">
      <c r="A203" s="39"/>
    </row>
    <row r="204" spans="1:1" x14ac:dyDescent="0.25">
      <c r="A204" s="39"/>
    </row>
    <row r="205" spans="1:1" x14ac:dyDescent="0.25">
      <c r="A205" s="39"/>
    </row>
    <row r="206" spans="1:1" x14ac:dyDescent="0.25">
      <c r="A206" s="39"/>
    </row>
    <row r="207" spans="1:1" x14ac:dyDescent="0.25">
      <c r="A207" s="39"/>
    </row>
    <row r="208" spans="1:1" x14ac:dyDescent="0.25">
      <c r="A208" s="39"/>
    </row>
    <row r="209" spans="1:1" x14ac:dyDescent="0.25">
      <c r="A209" s="39"/>
    </row>
    <row r="210" spans="1:1" x14ac:dyDescent="0.25">
      <c r="A210" s="39"/>
    </row>
    <row r="211" spans="1:1" x14ac:dyDescent="0.25">
      <c r="A211" s="39"/>
    </row>
    <row r="212" spans="1:1" x14ac:dyDescent="0.25">
      <c r="A212" s="39"/>
    </row>
    <row r="213" spans="1:1" x14ac:dyDescent="0.25">
      <c r="A213" s="39"/>
    </row>
    <row r="214" spans="1:1" x14ac:dyDescent="0.25">
      <c r="A214" s="39"/>
    </row>
    <row r="215" spans="1:1" x14ac:dyDescent="0.25">
      <c r="A215" s="39"/>
    </row>
    <row r="216" spans="1:1" x14ac:dyDescent="0.25">
      <c r="A216" s="39"/>
    </row>
    <row r="217" spans="1:1" x14ac:dyDescent="0.25">
      <c r="A217" s="39"/>
    </row>
    <row r="218" spans="1:1" x14ac:dyDescent="0.25">
      <c r="A218" s="39"/>
    </row>
    <row r="219" spans="1:1" x14ac:dyDescent="0.25">
      <c r="A219" s="39"/>
    </row>
    <row r="220" spans="1:1" x14ac:dyDescent="0.25">
      <c r="A220" s="39"/>
    </row>
    <row r="221" spans="1:1" x14ac:dyDescent="0.25">
      <c r="A221" s="39"/>
    </row>
    <row r="222" spans="1:1" x14ac:dyDescent="0.25">
      <c r="A222" s="39"/>
    </row>
    <row r="223" spans="1:1" x14ac:dyDescent="0.25">
      <c r="A223" s="39"/>
    </row>
    <row r="224" spans="1:1" x14ac:dyDescent="0.25">
      <c r="A224" s="39"/>
    </row>
    <row r="225" spans="1:1" x14ac:dyDescent="0.25">
      <c r="A225" s="39"/>
    </row>
    <row r="226" spans="1:1" x14ac:dyDescent="0.25">
      <c r="A226" s="39"/>
    </row>
    <row r="227" spans="1:1" x14ac:dyDescent="0.25">
      <c r="A227" s="39"/>
    </row>
    <row r="228" spans="1:1" x14ac:dyDescent="0.25">
      <c r="A228" s="39"/>
    </row>
    <row r="229" spans="1:1" x14ac:dyDescent="0.25">
      <c r="A229" s="39"/>
    </row>
    <row r="230" spans="1:1" x14ac:dyDescent="0.25">
      <c r="A230" s="39"/>
    </row>
    <row r="231" spans="1:1" x14ac:dyDescent="0.25">
      <c r="A231" s="39"/>
    </row>
    <row r="232" spans="1:1" x14ac:dyDescent="0.25">
      <c r="A232" s="39"/>
    </row>
    <row r="233" spans="1:1" x14ac:dyDescent="0.25">
      <c r="A233" s="39"/>
    </row>
    <row r="234" spans="1:1" x14ac:dyDescent="0.25">
      <c r="A234" s="39"/>
    </row>
    <row r="235" spans="1:1" x14ac:dyDescent="0.25">
      <c r="A235" s="39"/>
    </row>
    <row r="236" spans="1:1" x14ac:dyDescent="0.25">
      <c r="A236" s="39"/>
    </row>
    <row r="237" spans="1:1" x14ac:dyDescent="0.25">
      <c r="A237" s="39"/>
    </row>
    <row r="238" spans="1:1" x14ac:dyDescent="0.25">
      <c r="A238" s="39"/>
    </row>
    <row r="239" spans="1:1" x14ac:dyDescent="0.25">
      <c r="A239" s="39"/>
    </row>
    <row r="240" spans="1:1" x14ac:dyDescent="0.25">
      <c r="A240" s="39"/>
    </row>
    <row r="241" spans="1:1" x14ac:dyDescent="0.25">
      <c r="A241" s="39"/>
    </row>
    <row r="242" spans="1:1" x14ac:dyDescent="0.25">
      <c r="A242" s="39"/>
    </row>
    <row r="243" spans="1:1" x14ac:dyDescent="0.25">
      <c r="A243" s="39"/>
    </row>
    <row r="244" spans="1:1" x14ac:dyDescent="0.25">
      <c r="A244" s="39"/>
    </row>
    <row r="245" spans="1:1" x14ac:dyDescent="0.25">
      <c r="A245" s="39"/>
    </row>
    <row r="246" spans="1:1" x14ac:dyDescent="0.25">
      <c r="A246" s="39"/>
    </row>
    <row r="247" spans="1:1" x14ac:dyDescent="0.25">
      <c r="A247" s="39"/>
    </row>
    <row r="248" spans="1:1" x14ac:dyDescent="0.25">
      <c r="A248" s="39"/>
    </row>
    <row r="249" spans="1:1" x14ac:dyDescent="0.25">
      <c r="A249" s="39"/>
    </row>
    <row r="250" spans="1:1" x14ac:dyDescent="0.25">
      <c r="A250" s="39"/>
    </row>
    <row r="251" spans="1:1" x14ac:dyDescent="0.25">
      <c r="A251" s="39"/>
    </row>
    <row r="252" spans="1:1" x14ac:dyDescent="0.25">
      <c r="A252" s="39"/>
    </row>
    <row r="253" spans="1:1" x14ac:dyDescent="0.25">
      <c r="A253" s="39"/>
    </row>
    <row r="254" spans="1:1" x14ac:dyDescent="0.25">
      <c r="A254" s="39"/>
    </row>
    <row r="255" spans="1:1" x14ac:dyDescent="0.25">
      <c r="A255" s="39"/>
    </row>
    <row r="256" spans="1:1" x14ac:dyDescent="0.25">
      <c r="A256" s="39"/>
    </row>
    <row r="257" spans="1:1" x14ac:dyDescent="0.25">
      <c r="A257" s="39"/>
    </row>
    <row r="258" spans="1:1" x14ac:dyDescent="0.25">
      <c r="A258" s="39"/>
    </row>
    <row r="259" spans="1:1" x14ac:dyDescent="0.25">
      <c r="A259" s="39"/>
    </row>
    <row r="260" spans="1:1" x14ac:dyDescent="0.25">
      <c r="A260" s="39"/>
    </row>
    <row r="261" spans="1:1" x14ac:dyDescent="0.25">
      <c r="A261" s="39"/>
    </row>
    <row r="262" spans="1:1" x14ac:dyDescent="0.25">
      <c r="A262" s="39"/>
    </row>
    <row r="263" spans="1:1" x14ac:dyDescent="0.25">
      <c r="A263" s="39"/>
    </row>
    <row r="264" spans="1:1" x14ac:dyDescent="0.25">
      <c r="A264" s="39"/>
    </row>
    <row r="265" spans="1:1" x14ac:dyDescent="0.25">
      <c r="A265" s="39"/>
    </row>
    <row r="266" spans="1:1" x14ac:dyDescent="0.25">
      <c r="A266" s="39"/>
    </row>
    <row r="267" spans="1:1" x14ac:dyDescent="0.25">
      <c r="A267" s="39"/>
    </row>
    <row r="268" spans="1:1" x14ac:dyDescent="0.25">
      <c r="A268" s="39"/>
    </row>
    <row r="269" spans="1:1" x14ac:dyDescent="0.25">
      <c r="A269" s="39"/>
    </row>
    <row r="270" spans="1:1" x14ac:dyDescent="0.25">
      <c r="A270" s="39"/>
    </row>
    <row r="271" spans="1:1" x14ac:dyDescent="0.25">
      <c r="A271" s="39"/>
    </row>
    <row r="272" spans="1:1" x14ac:dyDescent="0.25">
      <c r="A272" s="39"/>
    </row>
    <row r="273" spans="1:1" x14ac:dyDescent="0.25">
      <c r="A273" s="39"/>
    </row>
    <row r="274" spans="1:1" x14ac:dyDescent="0.25">
      <c r="A274" s="39"/>
    </row>
    <row r="275" spans="1:1" x14ac:dyDescent="0.25">
      <c r="A275" s="39"/>
    </row>
    <row r="276" spans="1:1" x14ac:dyDescent="0.25">
      <c r="A276" s="39"/>
    </row>
    <row r="277" spans="1:1" x14ac:dyDescent="0.25">
      <c r="A277" s="39"/>
    </row>
    <row r="278" spans="1:1" x14ac:dyDescent="0.25">
      <c r="A278" s="39"/>
    </row>
    <row r="279" spans="1:1" x14ac:dyDescent="0.25">
      <c r="A279" s="39"/>
    </row>
    <row r="280" spans="1:1" x14ac:dyDescent="0.25">
      <c r="A280" s="39"/>
    </row>
    <row r="281" spans="1:1" x14ac:dyDescent="0.25">
      <c r="A281" s="39"/>
    </row>
    <row r="282" spans="1:1" x14ac:dyDescent="0.25">
      <c r="A282" s="39"/>
    </row>
    <row r="283" spans="1:1" x14ac:dyDescent="0.25">
      <c r="A283" s="39"/>
    </row>
    <row r="284" spans="1:1" x14ac:dyDescent="0.25">
      <c r="A284" s="39"/>
    </row>
    <row r="285" spans="1:1" x14ac:dyDescent="0.25">
      <c r="A285" s="39"/>
    </row>
    <row r="286" spans="1:1" x14ac:dyDescent="0.25">
      <c r="A286" s="39"/>
    </row>
    <row r="287" spans="1:1" x14ac:dyDescent="0.25">
      <c r="A287" s="39"/>
    </row>
    <row r="288" spans="1:1" x14ac:dyDescent="0.25">
      <c r="A288" s="39"/>
    </row>
    <row r="289" spans="1:1" x14ac:dyDescent="0.25">
      <c r="A289" s="39"/>
    </row>
    <row r="290" spans="1:1" x14ac:dyDescent="0.25">
      <c r="A290" s="39"/>
    </row>
    <row r="291" spans="1:1" x14ac:dyDescent="0.25">
      <c r="A291" s="39"/>
    </row>
    <row r="292" spans="1:1" x14ac:dyDescent="0.25">
      <c r="A292" s="39"/>
    </row>
    <row r="293" spans="1:1" x14ac:dyDescent="0.25">
      <c r="A293" s="39"/>
    </row>
    <row r="294" spans="1:1" x14ac:dyDescent="0.25">
      <c r="A294" s="39"/>
    </row>
    <row r="295" spans="1:1" x14ac:dyDescent="0.25">
      <c r="A295" s="39"/>
    </row>
    <row r="296" spans="1:1" x14ac:dyDescent="0.25">
      <c r="A296" s="39"/>
    </row>
    <row r="297" spans="1:1" x14ac:dyDescent="0.25">
      <c r="A297" s="39"/>
    </row>
    <row r="298" spans="1:1" x14ac:dyDescent="0.25">
      <c r="A298" s="39"/>
    </row>
    <row r="299" spans="1:1" x14ac:dyDescent="0.25">
      <c r="A299" s="39"/>
    </row>
    <row r="300" spans="1:1" x14ac:dyDescent="0.25">
      <c r="A300" s="39"/>
    </row>
    <row r="301" spans="1:1" x14ac:dyDescent="0.25">
      <c r="A301" s="39"/>
    </row>
    <row r="302" spans="1:1" x14ac:dyDescent="0.25">
      <c r="A302" s="39"/>
    </row>
    <row r="303" spans="1:1" x14ac:dyDescent="0.25">
      <c r="A303" s="39"/>
    </row>
    <row r="304" spans="1:1" x14ac:dyDescent="0.25">
      <c r="A304" s="39"/>
    </row>
    <row r="305" spans="1:1" x14ac:dyDescent="0.25">
      <c r="A305" s="39"/>
    </row>
    <row r="306" spans="1:1" x14ac:dyDescent="0.25">
      <c r="A306" s="39"/>
    </row>
    <row r="307" spans="1:1" x14ac:dyDescent="0.25">
      <c r="A307" s="39"/>
    </row>
    <row r="308" spans="1:1" x14ac:dyDescent="0.25">
      <c r="A308" s="39"/>
    </row>
    <row r="309" spans="1:1" x14ac:dyDescent="0.25">
      <c r="A309" s="39"/>
    </row>
    <row r="310" spans="1:1" x14ac:dyDescent="0.25">
      <c r="A310" s="39"/>
    </row>
    <row r="311" spans="1:1" x14ac:dyDescent="0.25">
      <c r="A311" s="39"/>
    </row>
    <row r="312" spans="1:1" x14ac:dyDescent="0.25">
      <c r="A312" s="39"/>
    </row>
    <row r="313" spans="1:1" x14ac:dyDescent="0.25">
      <c r="A313" s="39"/>
    </row>
    <row r="314" spans="1:1" x14ac:dyDescent="0.25">
      <c r="A314" s="39"/>
    </row>
    <row r="315" spans="1:1" x14ac:dyDescent="0.25">
      <c r="A315" s="39"/>
    </row>
    <row r="316" spans="1:1" x14ac:dyDescent="0.25">
      <c r="A316" s="39"/>
    </row>
    <row r="317" spans="1:1" x14ac:dyDescent="0.25">
      <c r="A317" s="39"/>
    </row>
    <row r="318" spans="1:1" x14ac:dyDescent="0.25">
      <c r="A318" s="39"/>
    </row>
    <row r="319" spans="1:1" x14ac:dyDescent="0.25">
      <c r="A319" s="39"/>
    </row>
    <row r="320" spans="1:1" x14ac:dyDescent="0.25">
      <c r="A320" s="39"/>
    </row>
    <row r="321" spans="1:1" x14ac:dyDescent="0.25">
      <c r="A321" s="39"/>
    </row>
    <row r="322" spans="1:1" x14ac:dyDescent="0.25">
      <c r="A322" s="39"/>
    </row>
    <row r="323" spans="1:1" x14ac:dyDescent="0.25">
      <c r="A323" s="39"/>
    </row>
    <row r="324" spans="1:1" x14ac:dyDescent="0.25">
      <c r="A324" s="39"/>
    </row>
    <row r="325" spans="1:1" x14ac:dyDescent="0.25">
      <c r="A325" s="39"/>
    </row>
    <row r="326" spans="1:1" x14ac:dyDescent="0.25">
      <c r="A326" s="39"/>
    </row>
    <row r="327" spans="1:1" x14ac:dyDescent="0.25">
      <c r="A327" s="39"/>
    </row>
    <row r="328" spans="1:1" x14ac:dyDescent="0.25">
      <c r="A328" s="39"/>
    </row>
    <row r="329" spans="1:1" x14ac:dyDescent="0.25">
      <c r="A329" s="39"/>
    </row>
    <row r="330" spans="1:1" x14ac:dyDescent="0.25">
      <c r="A330" s="39"/>
    </row>
    <row r="331" spans="1:1" x14ac:dyDescent="0.25">
      <c r="A331" s="39"/>
    </row>
    <row r="332" spans="1:1" x14ac:dyDescent="0.25">
      <c r="A332" s="39"/>
    </row>
    <row r="333" spans="1:1" x14ac:dyDescent="0.25">
      <c r="A333" s="39"/>
    </row>
    <row r="334" spans="1:1" x14ac:dyDescent="0.25">
      <c r="A334" s="39"/>
    </row>
    <row r="335" spans="1:1" x14ac:dyDescent="0.25">
      <c r="A335" s="39"/>
    </row>
    <row r="336" spans="1:1" x14ac:dyDescent="0.25">
      <c r="A336" s="39"/>
    </row>
    <row r="337" spans="1:1" x14ac:dyDescent="0.25">
      <c r="A337" s="39"/>
    </row>
    <row r="338" spans="1:1" x14ac:dyDescent="0.25">
      <c r="A338" s="39"/>
    </row>
    <row r="339" spans="1:1" x14ac:dyDescent="0.25">
      <c r="A339" s="39"/>
    </row>
    <row r="340" spans="1:1" x14ac:dyDescent="0.25">
      <c r="A340" s="39"/>
    </row>
    <row r="341" spans="1:1" x14ac:dyDescent="0.25">
      <c r="A341" s="39"/>
    </row>
    <row r="342" spans="1:1" x14ac:dyDescent="0.25">
      <c r="A342" s="39"/>
    </row>
    <row r="343" spans="1:1" x14ac:dyDescent="0.25">
      <c r="A343" s="39"/>
    </row>
    <row r="344" spans="1:1" x14ac:dyDescent="0.25">
      <c r="A344" s="39"/>
    </row>
    <row r="345" spans="1:1" x14ac:dyDescent="0.25">
      <c r="A345" s="39"/>
    </row>
    <row r="346" spans="1:1" x14ac:dyDescent="0.25">
      <c r="A346" s="39"/>
    </row>
    <row r="347" spans="1:1" x14ac:dyDescent="0.25">
      <c r="A347" s="39"/>
    </row>
    <row r="348" spans="1:1" x14ac:dyDescent="0.25">
      <c r="A348" s="39"/>
    </row>
    <row r="349" spans="1:1" x14ac:dyDescent="0.25">
      <c r="A349" s="39"/>
    </row>
    <row r="350" spans="1:1" x14ac:dyDescent="0.25">
      <c r="A350" s="39"/>
    </row>
    <row r="351" spans="1:1" x14ac:dyDescent="0.25">
      <c r="A351" s="39"/>
    </row>
    <row r="352" spans="1:1" x14ac:dyDescent="0.25">
      <c r="A352" s="39"/>
    </row>
    <row r="353" spans="1:1" x14ac:dyDescent="0.25">
      <c r="A353" s="39"/>
    </row>
    <row r="354" spans="1:1" x14ac:dyDescent="0.25">
      <c r="A354" s="39"/>
    </row>
    <row r="355" spans="1:1" x14ac:dyDescent="0.25">
      <c r="A355" s="39"/>
    </row>
    <row r="356" spans="1:1" x14ac:dyDescent="0.25">
      <c r="A356" s="39"/>
    </row>
    <row r="357" spans="1:1" x14ac:dyDescent="0.25">
      <c r="A357" s="39"/>
    </row>
    <row r="358" spans="1:1" x14ac:dyDescent="0.25">
      <c r="A358" s="39"/>
    </row>
    <row r="359" spans="1:1" x14ac:dyDescent="0.25">
      <c r="A359" s="39"/>
    </row>
    <row r="360" spans="1:1" x14ac:dyDescent="0.25">
      <c r="A360" s="39"/>
    </row>
    <row r="361" spans="1:1" x14ac:dyDescent="0.25">
      <c r="A361" s="39"/>
    </row>
    <row r="362" spans="1:1" x14ac:dyDescent="0.25">
      <c r="A362" s="39"/>
    </row>
    <row r="363" spans="1:1" x14ac:dyDescent="0.25">
      <c r="A363" s="39"/>
    </row>
    <row r="364" spans="1:1" x14ac:dyDescent="0.25">
      <c r="A364" s="39"/>
    </row>
    <row r="365" spans="1:1" x14ac:dyDescent="0.25">
      <c r="A365" s="39"/>
    </row>
    <row r="366" spans="1:1" x14ac:dyDescent="0.25">
      <c r="A366" s="39"/>
    </row>
    <row r="367" spans="1:1" x14ac:dyDescent="0.25">
      <c r="A367" s="39"/>
    </row>
    <row r="368" spans="1:1" x14ac:dyDescent="0.25">
      <c r="A368" s="39"/>
    </row>
    <row r="369" spans="1:1" x14ac:dyDescent="0.25">
      <c r="A369" s="39"/>
    </row>
    <row r="370" spans="1:1" x14ac:dyDescent="0.25">
      <c r="A370" s="39"/>
    </row>
    <row r="371" spans="1:1" x14ac:dyDescent="0.25">
      <c r="A371" s="39"/>
    </row>
    <row r="372" spans="1:1" x14ac:dyDescent="0.25">
      <c r="A372" s="39"/>
    </row>
    <row r="373" spans="1:1" x14ac:dyDescent="0.25">
      <c r="A373" s="39"/>
    </row>
    <row r="374" spans="1:1" x14ac:dyDescent="0.25">
      <c r="A374" s="39"/>
    </row>
    <row r="375" spans="1:1" x14ac:dyDescent="0.25">
      <c r="A375" s="39"/>
    </row>
    <row r="376" spans="1:1" x14ac:dyDescent="0.25">
      <c r="A376" s="39"/>
    </row>
    <row r="377" spans="1:1" x14ac:dyDescent="0.25">
      <c r="A377" s="39"/>
    </row>
    <row r="378" spans="1:1" x14ac:dyDescent="0.25">
      <c r="A378" s="39"/>
    </row>
    <row r="379" spans="1:1" x14ac:dyDescent="0.25">
      <c r="A379" s="39"/>
    </row>
    <row r="380" spans="1:1" x14ac:dyDescent="0.25">
      <c r="A380" s="39"/>
    </row>
    <row r="381" spans="1:1" x14ac:dyDescent="0.25">
      <c r="A381" s="39"/>
    </row>
    <row r="382" spans="1:1" x14ac:dyDescent="0.25">
      <c r="A382" s="39"/>
    </row>
    <row r="383" spans="1:1" x14ac:dyDescent="0.25">
      <c r="A383" s="39"/>
    </row>
    <row r="384" spans="1:1" x14ac:dyDescent="0.25">
      <c r="A384" s="39"/>
    </row>
    <row r="385" spans="1:1" x14ac:dyDescent="0.25">
      <c r="A385" s="39"/>
    </row>
    <row r="386" spans="1:1" x14ac:dyDescent="0.25">
      <c r="A386" s="39"/>
    </row>
    <row r="387" spans="1:1" x14ac:dyDescent="0.25">
      <c r="A387" s="39"/>
    </row>
    <row r="388" spans="1:1" x14ac:dyDescent="0.25">
      <c r="A388" s="39"/>
    </row>
    <row r="389" spans="1:1" x14ac:dyDescent="0.25">
      <c r="A389" s="39"/>
    </row>
    <row r="390" spans="1:1" x14ac:dyDescent="0.25">
      <c r="A390" s="39"/>
    </row>
    <row r="391" spans="1:1" x14ac:dyDescent="0.25">
      <c r="A391" s="39"/>
    </row>
    <row r="392" spans="1:1" x14ac:dyDescent="0.25">
      <c r="A392" s="39"/>
    </row>
    <row r="393" spans="1:1" x14ac:dyDescent="0.25">
      <c r="A393" s="39"/>
    </row>
    <row r="394" spans="1:1" x14ac:dyDescent="0.25">
      <c r="A394" s="39"/>
    </row>
    <row r="395" spans="1:1" x14ac:dyDescent="0.25">
      <c r="A395" s="39"/>
    </row>
    <row r="396" spans="1:1" x14ac:dyDescent="0.25">
      <c r="A396" s="39"/>
    </row>
    <row r="397" spans="1:1" x14ac:dyDescent="0.25">
      <c r="A397" s="39"/>
    </row>
    <row r="398" spans="1:1" x14ac:dyDescent="0.25">
      <c r="A398" s="39"/>
    </row>
    <row r="399" spans="1:1" x14ac:dyDescent="0.25">
      <c r="A399" s="39"/>
    </row>
    <row r="400" spans="1:1" x14ac:dyDescent="0.25">
      <c r="A400" s="39"/>
    </row>
    <row r="401" spans="1:1" x14ac:dyDescent="0.25">
      <c r="A401" s="39"/>
    </row>
    <row r="402" spans="1:1" x14ac:dyDescent="0.25">
      <c r="A402" s="39"/>
    </row>
    <row r="403" spans="1:1" x14ac:dyDescent="0.25">
      <c r="A403" s="39"/>
    </row>
    <row r="404" spans="1:1" x14ac:dyDescent="0.25">
      <c r="A404" s="39"/>
    </row>
    <row r="405" spans="1:1" x14ac:dyDescent="0.25">
      <c r="A405" s="39"/>
    </row>
    <row r="406" spans="1:1" x14ac:dyDescent="0.25">
      <c r="A406" s="39"/>
    </row>
    <row r="407" spans="1:1" x14ac:dyDescent="0.25">
      <c r="A407" s="39"/>
    </row>
    <row r="408" spans="1:1" x14ac:dyDescent="0.25">
      <c r="A408" s="39"/>
    </row>
    <row r="409" spans="1:1" x14ac:dyDescent="0.25">
      <c r="A409" s="39"/>
    </row>
    <row r="410" spans="1:1" x14ac:dyDescent="0.25">
      <c r="A410" s="39"/>
    </row>
    <row r="411" spans="1:1" x14ac:dyDescent="0.25">
      <c r="A411" s="39"/>
    </row>
    <row r="412" spans="1:1" x14ac:dyDescent="0.25">
      <c r="A412" s="39"/>
    </row>
    <row r="413" spans="1:1" x14ac:dyDescent="0.25">
      <c r="A413" s="39"/>
    </row>
    <row r="414" spans="1:1" x14ac:dyDescent="0.25">
      <c r="A414" s="39"/>
    </row>
    <row r="415" spans="1:1" x14ac:dyDescent="0.25">
      <c r="A415" s="39"/>
    </row>
    <row r="416" spans="1:1" x14ac:dyDescent="0.25">
      <c r="A416" s="39"/>
    </row>
    <row r="417" spans="1:1" x14ac:dyDescent="0.25">
      <c r="A417" s="39"/>
    </row>
    <row r="418" spans="1:1" x14ac:dyDescent="0.25">
      <c r="A418" s="39"/>
    </row>
    <row r="419" spans="1:1" x14ac:dyDescent="0.25">
      <c r="A419" s="39"/>
    </row>
    <row r="420" spans="1:1" x14ac:dyDescent="0.25">
      <c r="A420" s="39"/>
    </row>
    <row r="421" spans="1:1" x14ac:dyDescent="0.25">
      <c r="A421" s="39"/>
    </row>
    <row r="422" spans="1:1" x14ac:dyDescent="0.25">
      <c r="A422" s="39"/>
    </row>
    <row r="423" spans="1:1" x14ac:dyDescent="0.25">
      <c r="A423" s="39"/>
    </row>
    <row r="424" spans="1:1" x14ac:dyDescent="0.25">
      <c r="A424" s="39"/>
    </row>
    <row r="425" spans="1:1" x14ac:dyDescent="0.25">
      <c r="A425" s="39"/>
    </row>
    <row r="426" spans="1:1" x14ac:dyDescent="0.25">
      <c r="A426" s="39"/>
    </row>
    <row r="427" spans="1:1" x14ac:dyDescent="0.25">
      <c r="A427" s="39"/>
    </row>
    <row r="428" spans="1:1" x14ac:dyDescent="0.25">
      <c r="A428" s="39"/>
    </row>
    <row r="429" spans="1:1" x14ac:dyDescent="0.25">
      <c r="A429" s="39"/>
    </row>
    <row r="430" spans="1:1" x14ac:dyDescent="0.25">
      <c r="A430" s="39"/>
    </row>
    <row r="431" spans="1:1" x14ac:dyDescent="0.25">
      <c r="A431" s="39"/>
    </row>
    <row r="432" spans="1:1" x14ac:dyDescent="0.25">
      <c r="A432" s="39"/>
    </row>
    <row r="433" spans="1:1" x14ac:dyDescent="0.25">
      <c r="A433" s="39"/>
    </row>
    <row r="434" spans="1:1" x14ac:dyDescent="0.25">
      <c r="A434" s="39"/>
    </row>
    <row r="435" spans="1:1" x14ac:dyDescent="0.25">
      <c r="A435" s="39"/>
    </row>
    <row r="436" spans="1:1" x14ac:dyDescent="0.25">
      <c r="A436" s="39"/>
    </row>
    <row r="437" spans="1:1" x14ac:dyDescent="0.25">
      <c r="A437" s="39"/>
    </row>
    <row r="438" spans="1:1" x14ac:dyDescent="0.25">
      <c r="A438" s="39"/>
    </row>
    <row r="439" spans="1:1" x14ac:dyDescent="0.25">
      <c r="A439" s="39"/>
    </row>
    <row r="440" spans="1:1" x14ac:dyDescent="0.25">
      <c r="A440" s="39"/>
    </row>
    <row r="441" spans="1:1" x14ac:dyDescent="0.25">
      <c r="A441" s="39"/>
    </row>
    <row r="442" spans="1:1" x14ac:dyDescent="0.25">
      <c r="A442" s="39"/>
    </row>
    <row r="443" spans="1:1" x14ac:dyDescent="0.25">
      <c r="A443" s="39"/>
    </row>
    <row r="444" spans="1:1" x14ac:dyDescent="0.25">
      <c r="A444" s="39"/>
    </row>
    <row r="445" spans="1:1" x14ac:dyDescent="0.25">
      <c r="A445" s="39"/>
    </row>
    <row r="446" spans="1:1" x14ac:dyDescent="0.25">
      <c r="A446" s="39"/>
    </row>
    <row r="447" spans="1:1" x14ac:dyDescent="0.25">
      <c r="A447" s="39"/>
    </row>
    <row r="448" spans="1:1" x14ac:dyDescent="0.25">
      <c r="A448" s="39"/>
    </row>
    <row r="449" spans="1:1" x14ac:dyDescent="0.25">
      <c r="A449" s="39"/>
    </row>
    <row r="450" spans="1:1" x14ac:dyDescent="0.25">
      <c r="A450" s="39"/>
    </row>
    <row r="451" spans="1:1" x14ac:dyDescent="0.25">
      <c r="A451" s="39"/>
    </row>
    <row r="452" spans="1:1" x14ac:dyDescent="0.25">
      <c r="A452" s="39"/>
    </row>
    <row r="453" spans="1:1" x14ac:dyDescent="0.25">
      <c r="A453" s="39"/>
    </row>
    <row r="454" spans="1:1" x14ac:dyDescent="0.25">
      <c r="A454" s="39"/>
    </row>
    <row r="455" spans="1:1" x14ac:dyDescent="0.25">
      <c r="A455" s="39"/>
    </row>
    <row r="456" spans="1:1" x14ac:dyDescent="0.25">
      <c r="A456" s="39"/>
    </row>
    <row r="457" spans="1:1" x14ac:dyDescent="0.25">
      <c r="A457" s="39"/>
    </row>
    <row r="458" spans="1:1" x14ac:dyDescent="0.25">
      <c r="A458" s="39"/>
    </row>
    <row r="459" spans="1:1" x14ac:dyDescent="0.25">
      <c r="A459" s="39"/>
    </row>
    <row r="460" spans="1:1" x14ac:dyDescent="0.25">
      <c r="A460" s="39"/>
    </row>
    <row r="461" spans="1:1" x14ac:dyDescent="0.25">
      <c r="A461" s="39"/>
    </row>
    <row r="462" spans="1:1" x14ac:dyDescent="0.25">
      <c r="A462" s="39"/>
    </row>
    <row r="463" spans="1:1" x14ac:dyDescent="0.25">
      <c r="A463" s="39"/>
    </row>
    <row r="464" spans="1:1" x14ac:dyDescent="0.25">
      <c r="A464" s="39"/>
    </row>
    <row r="465" spans="1:1" x14ac:dyDescent="0.25">
      <c r="A465" s="39"/>
    </row>
    <row r="466" spans="1:1" x14ac:dyDescent="0.25">
      <c r="A466" s="39"/>
    </row>
    <row r="467" spans="1:1" x14ac:dyDescent="0.25">
      <c r="A467" s="39"/>
    </row>
    <row r="468" spans="1:1" x14ac:dyDescent="0.25">
      <c r="A468" s="39"/>
    </row>
    <row r="469" spans="1:1" x14ac:dyDescent="0.25">
      <c r="A469" s="39"/>
    </row>
    <row r="470" spans="1:1" x14ac:dyDescent="0.25">
      <c r="A470" s="39"/>
    </row>
    <row r="471" spans="1:1" x14ac:dyDescent="0.25">
      <c r="A471" s="39"/>
    </row>
    <row r="472" spans="1:1" x14ac:dyDescent="0.25">
      <c r="A472" s="39"/>
    </row>
    <row r="473" spans="1:1" x14ac:dyDescent="0.25">
      <c r="A473" s="39"/>
    </row>
    <row r="474" spans="1:1" x14ac:dyDescent="0.25">
      <c r="A474" s="39"/>
    </row>
    <row r="475" spans="1:1" x14ac:dyDescent="0.25">
      <c r="A475" s="39"/>
    </row>
    <row r="476" spans="1:1" x14ac:dyDescent="0.25">
      <c r="A476" s="39"/>
    </row>
    <row r="477" spans="1:1" x14ac:dyDescent="0.25">
      <c r="A477" s="39"/>
    </row>
    <row r="478" spans="1:1" x14ac:dyDescent="0.25">
      <c r="A478" s="39"/>
    </row>
    <row r="479" spans="1:1" x14ac:dyDescent="0.25">
      <c r="A479" s="39"/>
    </row>
    <row r="480" spans="1:1" x14ac:dyDescent="0.25">
      <c r="A480" s="39"/>
    </row>
    <row r="481" spans="1:1" x14ac:dyDescent="0.25">
      <c r="A481" s="39"/>
    </row>
    <row r="482" spans="1:1" x14ac:dyDescent="0.25">
      <c r="A482" s="39"/>
    </row>
    <row r="483" spans="1:1" x14ac:dyDescent="0.25">
      <c r="A483" s="39"/>
    </row>
    <row r="484" spans="1:1" x14ac:dyDescent="0.25">
      <c r="A484" s="39"/>
    </row>
    <row r="485" spans="1:1" x14ac:dyDescent="0.25">
      <c r="A485" s="39"/>
    </row>
    <row r="486" spans="1:1" x14ac:dyDescent="0.25">
      <c r="A486" s="39"/>
    </row>
    <row r="487" spans="1:1" x14ac:dyDescent="0.25">
      <c r="A487" s="39"/>
    </row>
    <row r="488" spans="1:1" x14ac:dyDescent="0.25">
      <c r="A488" s="39"/>
    </row>
    <row r="489" spans="1:1" x14ac:dyDescent="0.25">
      <c r="A489" s="39"/>
    </row>
    <row r="490" spans="1:1" x14ac:dyDescent="0.25">
      <c r="A490" s="39"/>
    </row>
    <row r="491" spans="1:1" x14ac:dyDescent="0.25">
      <c r="A491" s="39"/>
    </row>
    <row r="492" spans="1:1" x14ac:dyDescent="0.25">
      <c r="A492" s="39"/>
    </row>
    <row r="493" spans="1:1" x14ac:dyDescent="0.25">
      <c r="A493" s="39"/>
    </row>
    <row r="494" spans="1:1" x14ac:dyDescent="0.25">
      <c r="A494" s="39"/>
    </row>
    <row r="495" spans="1:1" x14ac:dyDescent="0.25">
      <c r="A495" s="39"/>
    </row>
    <row r="496" spans="1:1" x14ac:dyDescent="0.25">
      <c r="A496" s="39"/>
    </row>
    <row r="497" spans="1:1" x14ac:dyDescent="0.25">
      <c r="A497" s="39"/>
    </row>
    <row r="498" spans="1:1" x14ac:dyDescent="0.25">
      <c r="A498" s="39"/>
    </row>
    <row r="499" spans="1:1" x14ac:dyDescent="0.25">
      <c r="A499" s="39"/>
    </row>
    <row r="500" spans="1:1" x14ac:dyDescent="0.25">
      <c r="A500" s="39"/>
    </row>
    <row r="501" spans="1:1" x14ac:dyDescent="0.25">
      <c r="A501" s="39"/>
    </row>
    <row r="502" spans="1:1" x14ac:dyDescent="0.25">
      <c r="A502" s="39"/>
    </row>
    <row r="503" spans="1:1" x14ac:dyDescent="0.25">
      <c r="A503" s="39"/>
    </row>
    <row r="504" spans="1:1" x14ac:dyDescent="0.25">
      <c r="A504" s="39"/>
    </row>
    <row r="505" spans="1:1" x14ac:dyDescent="0.25">
      <c r="A505" s="39"/>
    </row>
    <row r="506" spans="1:1" x14ac:dyDescent="0.25">
      <c r="A506" s="39"/>
    </row>
    <row r="507" spans="1:1" x14ac:dyDescent="0.25">
      <c r="A507" s="39"/>
    </row>
    <row r="508" spans="1:1" x14ac:dyDescent="0.25">
      <c r="A508" s="39"/>
    </row>
    <row r="509" spans="1:1" x14ac:dyDescent="0.25">
      <c r="A509" s="39"/>
    </row>
    <row r="510" spans="1:1" x14ac:dyDescent="0.25">
      <c r="A510" s="39"/>
    </row>
    <row r="511" spans="1:1" x14ac:dyDescent="0.25">
      <c r="A511" s="39"/>
    </row>
    <row r="512" spans="1:1" x14ac:dyDescent="0.25">
      <c r="A512" s="39"/>
    </row>
    <row r="513" spans="1:1" x14ac:dyDescent="0.25">
      <c r="A513" s="39"/>
    </row>
    <row r="514" spans="1:1" x14ac:dyDescent="0.25">
      <c r="A514" s="39"/>
    </row>
    <row r="515" spans="1:1" x14ac:dyDescent="0.25">
      <c r="A515" s="39"/>
    </row>
    <row r="516" spans="1:1" x14ac:dyDescent="0.25">
      <c r="A516" s="39"/>
    </row>
    <row r="517" spans="1:1" x14ac:dyDescent="0.25">
      <c r="A517" s="39"/>
    </row>
    <row r="518" spans="1:1" x14ac:dyDescent="0.25">
      <c r="A518" s="39"/>
    </row>
    <row r="519" spans="1:1" x14ac:dyDescent="0.25">
      <c r="A519" s="39"/>
    </row>
    <row r="520" spans="1:1" x14ac:dyDescent="0.25">
      <c r="A520" s="39"/>
    </row>
    <row r="521" spans="1:1" x14ac:dyDescent="0.25">
      <c r="A521" s="39"/>
    </row>
    <row r="522" spans="1:1" x14ac:dyDescent="0.25">
      <c r="A522" s="39"/>
    </row>
    <row r="523" spans="1:1" x14ac:dyDescent="0.25">
      <c r="A523" s="39"/>
    </row>
    <row r="524" spans="1:1" x14ac:dyDescent="0.25">
      <c r="A524" s="39"/>
    </row>
    <row r="525" spans="1:1" x14ac:dyDescent="0.25">
      <c r="A525" s="39"/>
    </row>
    <row r="526" spans="1:1" x14ac:dyDescent="0.25">
      <c r="A526" s="39"/>
    </row>
    <row r="527" spans="1:1" x14ac:dyDescent="0.25">
      <c r="A527" s="39"/>
    </row>
    <row r="528" spans="1:1" x14ac:dyDescent="0.25">
      <c r="A528" s="39"/>
    </row>
    <row r="529" spans="1:1" x14ac:dyDescent="0.25">
      <c r="A529" s="39"/>
    </row>
    <row r="530" spans="1:1" x14ac:dyDescent="0.25">
      <c r="A530" s="39"/>
    </row>
    <row r="531" spans="1:1" x14ac:dyDescent="0.25">
      <c r="A531" s="39"/>
    </row>
    <row r="532" spans="1:1" x14ac:dyDescent="0.25">
      <c r="A532" s="39"/>
    </row>
    <row r="533" spans="1:1" x14ac:dyDescent="0.25">
      <c r="A533" s="39"/>
    </row>
    <row r="534" spans="1:1" x14ac:dyDescent="0.25">
      <c r="A534" s="39"/>
    </row>
    <row r="535" spans="1:1" x14ac:dyDescent="0.25">
      <c r="A535" s="39"/>
    </row>
    <row r="536" spans="1:1" x14ac:dyDescent="0.25">
      <c r="A536" s="39"/>
    </row>
    <row r="537" spans="1:1" x14ac:dyDescent="0.25">
      <c r="A537" s="39"/>
    </row>
    <row r="538" spans="1:1" x14ac:dyDescent="0.25">
      <c r="A538" s="39"/>
    </row>
    <row r="539" spans="1:1" x14ac:dyDescent="0.25">
      <c r="A539" s="39"/>
    </row>
    <row r="540" spans="1:1" x14ac:dyDescent="0.25">
      <c r="A540" s="39"/>
    </row>
    <row r="541" spans="1:1" x14ac:dyDescent="0.25">
      <c r="A541" s="39"/>
    </row>
    <row r="542" spans="1:1" x14ac:dyDescent="0.25">
      <c r="A542" s="39"/>
    </row>
    <row r="543" spans="1:1" x14ac:dyDescent="0.25">
      <c r="A543" s="39"/>
    </row>
    <row r="544" spans="1:1" x14ac:dyDescent="0.25">
      <c r="A544" s="39"/>
    </row>
    <row r="545" spans="1:1" x14ac:dyDescent="0.25">
      <c r="A545" s="39"/>
    </row>
    <row r="546" spans="1:1" x14ac:dyDescent="0.25">
      <c r="A546" s="39"/>
    </row>
    <row r="547" spans="1:1" x14ac:dyDescent="0.25">
      <c r="A547" s="39"/>
    </row>
    <row r="548" spans="1:1" x14ac:dyDescent="0.25">
      <c r="A548" s="39"/>
    </row>
    <row r="549" spans="1:1" x14ac:dyDescent="0.25">
      <c r="A549" s="39"/>
    </row>
    <row r="550" spans="1:1" x14ac:dyDescent="0.25">
      <c r="A550" s="39"/>
    </row>
    <row r="551" spans="1:1" x14ac:dyDescent="0.25">
      <c r="A551" s="39"/>
    </row>
    <row r="552" spans="1:1" x14ac:dyDescent="0.25">
      <c r="A552" s="39"/>
    </row>
    <row r="553" spans="1:1" x14ac:dyDescent="0.25">
      <c r="A553" s="39"/>
    </row>
    <row r="554" spans="1:1" x14ac:dyDescent="0.25">
      <c r="A554" s="39"/>
    </row>
    <row r="555" spans="1:1" x14ac:dyDescent="0.25">
      <c r="A555" s="39"/>
    </row>
    <row r="556" spans="1:1" x14ac:dyDescent="0.25">
      <c r="A556" s="39"/>
    </row>
    <row r="557" spans="1:1" x14ac:dyDescent="0.25">
      <c r="A557" s="39"/>
    </row>
    <row r="558" spans="1:1" x14ac:dyDescent="0.25">
      <c r="A558" s="39"/>
    </row>
    <row r="559" spans="1:1" x14ac:dyDescent="0.25">
      <c r="A559" s="39"/>
    </row>
    <row r="560" spans="1:1" x14ac:dyDescent="0.25">
      <c r="A560" s="39"/>
    </row>
    <row r="561" spans="1:1" x14ac:dyDescent="0.25">
      <c r="A561" s="39"/>
    </row>
    <row r="562" spans="1:1" x14ac:dyDescent="0.25">
      <c r="A562" s="39"/>
    </row>
    <row r="563" spans="1:1" x14ac:dyDescent="0.25">
      <c r="A563" s="39"/>
    </row>
    <row r="564" spans="1:1" x14ac:dyDescent="0.25">
      <c r="A564" s="39"/>
    </row>
    <row r="565" spans="1:1" x14ac:dyDescent="0.25">
      <c r="A565" s="39"/>
    </row>
    <row r="566" spans="1:1" x14ac:dyDescent="0.25">
      <c r="A566" s="39"/>
    </row>
    <row r="567" spans="1:1" x14ac:dyDescent="0.25">
      <c r="A567" s="39"/>
    </row>
    <row r="568" spans="1:1" x14ac:dyDescent="0.25">
      <c r="A568" s="39"/>
    </row>
    <row r="569" spans="1:1" x14ac:dyDescent="0.25">
      <c r="A569" s="39"/>
    </row>
    <row r="570" spans="1:1" x14ac:dyDescent="0.25">
      <c r="A570" s="39"/>
    </row>
    <row r="571" spans="1:1" x14ac:dyDescent="0.25">
      <c r="A571" s="39"/>
    </row>
    <row r="572" spans="1:1" x14ac:dyDescent="0.25">
      <c r="A572" s="39"/>
    </row>
    <row r="573" spans="1:1" x14ac:dyDescent="0.25">
      <c r="A573" s="39"/>
    </row>
    <row r="574" spans="1:1" x14ac:dyDescent="0.25">
      <c r="A574" s="39"/>
    </row>
    <row r="575" spans="1:1" x14ac:dyDescent="0.25">
      <c r="A575" s="39"/>
    </row>
    <row r="576" spans="1:1" x14ac:dyDescent="0.25">
      <c r="A576" s="39"/>
    </row>
    <row r="577" spans="1:1" x14ac:dyDescent="0.25">
      <c r="A577" s="39"/>
    </row>
    <row r="578" spans="1:1" x14ac:dyDescent="0.25">
      <c r="A578" s="39"/>
    </row>
    <row r="579" spans="1:1" x14ac:dyDescent="0.25">
      <c r="A579" s="39"/>
    </row>
    <row r="580" spans="1:1" x14ac:dyDescent="0.25">
      <c r="A580" s="39"/>
    </row>
    <row r="581" spans="1:1" x14ac:dyDescent="0.25">
      <c r="A581" s="39"/>
    </row>
    <row r="582" spans="1:1" x14ac:dyDescent="0.25">
      <c r="A582" s="39"/>
    </row>
    <row r="583" spans="1:1" x14ac:dyDescent="0.25">
      <c r="A583" s="39"/>
    </row>
    <row r="584" spans="1:1" x14ac:dyDescent="0.25">
      <c r="A584" s="39"/>
    </row>
    <row r="585" spans="1:1" x14ac:dyDescent="0.25">
      <c r="A585" s="39"/>
    </row>
    <row r="586" spans="1:1" x14ac:dyDescent="0.25">
      <c r="A586" s="39"/>
    </row>
    <row r="587" spans="1:1" x14ac:dyDescent="0.25">
      <c r="A587" s="39"/>
    </row>
    <row r="588" spans="1:1" x14ac:dyDescent="0.25">
      <c r="A588" s="39"/>
    </row>
    <row r="589" spans="1:1" x14ac:dyDescent="0.25">
      <c r="A589" s="39"/>
    </row>
    <row r="590" spans="1:1" x14ac:dyDescent="0.25">
      <c r="A590" s="39"/>
    </row>
    <row r="591" spans="1:1" x14ac:dyDescent="0.25">
      <c r="A591" s="39"/>
    </row>
    <row r="592" spans="1:1" x14ac:dyDescent="0.25">
      <c r="A592" s="39"/>
    </row>
    <row r="593" spans="1:1" x14ac:dyDescent="0.25">
      <c r="A593" s="39"/>
    </row>
    <row r="594" spans="1:1" x14ac:dyDescent="0.25">
      <c r="A594" s="39"/>
    </row>
    <row r="595" spans="1:1" x14ac:dyDescent="0.25">
      <c r="A595" s="39"/>
    </row>
    <row r="596" spans="1:1" x14ac:dyDescent="0.25">
      <c r="A596" s="39"/>
    </row>
    <row r="597" spans="1:1" x14ac:dyDescent="0.25">
      <c r="A597" s="39"/>
    </row>
    <row r="598" spans="1:1" x14ac:dyDescent="0.25">
      <c r="A598" s="39"/>
    </row>
    <row r="599" spans="1:1" x14ac:dyDescent="0.25">
      <c r="A599" s="39"/>
    </row>
    <row r="600" spans="1:1" x14ac:dyDescent="0.25">
      <c r="A600" s="39"/>
    </row>
    <row r="601" spans="1:1" x14ac:dyDescent="0.25">
      <c r="A601" s="39"/>
    </row>
    <row r="602" spans="1:1" x14ac:dyDescent="0.25">
      <c r="A602" s="39"/>
    </row>
    <row r="603" spans="1:1" x14ac:dyDescent="0.25">
      <c r="A603" s="39"/>
    </row>
    <row r="604" spans="1:1" x14ac:dyDescent="0.25">
      <c r="A604" s="39"/>
    </row>
    <row r="605" spans="1:1" x14ac:dyDescent="0.25">
      <c r="A605" s="39"/>
    </row>
    <row r="606" spans="1:1" x14ac:dyDescent="0.25">
      <c r="A606" s="39"/>
    </row>
    <row r="607" spans="1:1" x14ac:dyDescent="0.25">
      <c r="A607" s="39"/>
    </row>
    <row r="608" spans="1:1" x14ac:dyDescent="0.25">
      <c r="A608" s="39"/>
    </row>
    <row r="609" spans="1:1" x14ac:dyDescent="0.25">
      <c r="A609" s="39"/>
    </row>
    <row r="610" spans="1:1" x14ac:dyDescent="0.25">
      <c r="A610" s="39"/>
    </row>
    <row r="611" spans="1:1" x14ac:dyDescent="0.25">
      <c r="A611" s="39"/>
    </row>
    <row r="612" spans="1:1" x14ac:dyDescent="0.25">
      <c r="A612" s="39"/>
    </row>
    <row r="613" spans="1:1" x14ac:dyDescent="0.25">
      <c r="A613" s="39"/>
    </row>
    <row r="614" spans="1:1" x14ac:dyDescent="0.25">
      <c r="A614" s="39"/>
    </row>
    <row r="615" spans="1:1" x14ac:dyDescent="0.25">
      <c r="A615" s="39"/>
    </row>
    <row r="616" spans="1:1" x14ac:dyDescent="0.25">
      <c r="A616" s="39"/>
    </row>
    <row r="617" spans="1:1" x14ac:dyDescent="0.25">
      <c r="A617" s="39"/>
    </row>
    <row r="618" spans="1:1" x14ac:dyDescent="0.25">
      <c r="A618" s="39"/>
    </row>
    <row r="619" spans="1:1" x14ac:dyDescent="0.25">
      <c r="A619" s="39"/>
    </row>
    <row r="620" spans="1:1" x14ac:dyDescent="0.25">
      <c r="A620" s="39"/>
    </row>
    <row r="621" spans="1:1" x14ac:dyDescent="0.25">
      <c r="A621" s="39"/>
    </row>
    <row r="622" spans="1:1" x14ac:dyDescent="0.25">
      <c r="A622" s="39"/>
    </row>
    <row r="623" spans="1:1" x14ac:dyDescent="0.25">
      <c r="A623" s="39"/>
    </row>
    <row r="624" spans="1:1" x14ac:dyDescent="0.25">
      <c r="A624" s="39"/>
    </row>
    <row r="625" spans="1:1" x14ac:dyDescent="0.25">
      <c r="A625" s="39"/>
    </row>
    <row r="626" spans="1:1" x14ac:dyDescent="0.25">
      <c r="A626" s="39"/>
    </row>
    <row r="627" spans="1:1" x14ac:dyDescent="0.25">
      <c r="A627" s="39"/>
    </row>
    <row r="628" spans="1:1" x14ac:dyDescent="0.25">
      <c r="A628" s="39"/>
    </row>
    <row r="629" spans="1:1" x14ac:dyDescent="0.25">
      <c r="A629" s="39"/>
    </row>
    <row r="630" spans="1:1" x14ac:dyDescent="0.25">
      <c r="A630" s="39"/>
    </row>
    <row r="631" spans="1:1" x14ac:dyDescent="0.25">
      <c r="A631" s="39"/>
    </row>
    <row r="632" spans="1:1" x14ac:dyDescent="0.25">
      <c r="A632" s="39"/>
    </row>
    <row r="633" spans="1:1" x14ac:dyDescent="0.25">
      <c r="A633" s="39"/>
    </row>
    <row r="634" spans="1:1" x14ac:dyDescent="0.25">
      <c r="A634" s="39"/>
    </row>
    <row r="635" spans="1:1" x14ac:dyDescent="0.25">
      <c r="A635" s="39"/>
    </row>
    <row r="636" spans="1:1" x14ac:dyDescent="0.25">
      <c r="A636" s="39"/>
    </row>
    <row r="637" spans="1:1" x14ac:dyDescent="0.25">
      <c r="A637" s="39"/>
    </row>
    <row r="638" spans="1:1" x14ac:dyDescent="0.25">
      <c r="A638" s="39"/>
    </row>
    <row r="639" spans="1:1" x14ac:dyDescent="0.25">
      <c r="A639" s="39"/>
    </row>
    <row r="640" spans="1:1" x14ac:dyDescent="0.25">
      <c r="A640" s="39"/>
    </row>
    <row r="641" spans="1:1" x14ac:dyDescent="0.25">
      <c r="A641" s="39"/>
    </row>
    <row r="642" spans="1:1" x14ac:dyDescent="0.25">
      <c r="A642" s="39"/>
    </row>
    <row r="643" spans="1:1" x14ac:dyDescent="0.25">
      <c r="A643" s="39"/>
    </row>
    <row r="644" spans="1:1" x14ac:dyDescent="0.25">
      <c r="A644" s="39"/>
    </row>
    <row r="645" spans="1:1" x14ac:dyDescent="0.25">
      <c r="A645" s="39"/>
    </row>
    <row r="646" spans="1:1" x14ac:dyDescent="0.25">
      <c r="A646" s="39"/>
    </row>
    <row r="647" spans="1:1" x14ac:dyDescent="0.25">
      <c r="A647" s="39"/>
    </row>
    <row r="648" spans="1:1" x14ac:dyDescent="0.25">
      <c r="A648" s="39"/>
    </row>
    <row r="649" spans="1:1" x14ac:dyDescent="0.25">
      <c r="A649" s="39"/>
    </row>
    <row r="650" spans="1:1" x14ac:dyDescent="0.25">
      <c r="A650" s="39"/>
    </row>
    <row r="651" spans="1:1" x14ac:dyDescent="0.25">
      <c r="A651" s="39"/>
    </row>
    <row r="652" spans="1:1" x14ac:dyDescent="0.25">
      <c r="A652" s="39"/>
    </row>
    <row r="653" spans="1:1" x14ac:dyDescent="0.25">
      <c r="A653" s="39"/>
    </row>
    <row r="654" spans="1:1" x14ac:dyDescent="0.25">
      <c r="A654" s="39"/>
    </row>
    <row r="655" spans="1:1" x14ac:dyDescent="0.25">
      <c r="A655" s="39"/>
    </row>
    <row r="656" spans="1:1" x14ac:dyDescent="0.25">
      <c r="A656" s="39"/>
    </row>
    <row r="657" spans="1:1" x14ac:dyDescent="0.25">
      <c r="A657" s="39"/>
    </row>
    <row r="658" spans="1:1" x14ac:dyDescent="0.25">
      <c r="A658" s="39"/>
    </row>
    <row r="659" spans="1:1" x14ac:dyDescent="0.25">
      <c r="A659" s="39"/>
    </row>
    <row r="660" spans="1:1" x14ac:dyDescent="0.25">
      <c r="A660" s="39"/>
    </row>
    <row r="661" spans="1:1" x14ac:dyDescent="0.25">
      <c r="A661" s="39"/>
    </row>
    <row r="662" spans="1:1" x14ac:dyDescent="0.25">
      <c r="A662" s="39"/>
    </row>
    <row r="663" spans="1:1" x14ac:dyDescent="0.25">
      <c r="A663" s="39"/>
    </row>
    <row r="664" spans="1:1" x14ac:dyDescent="0.25">
      <c r="A664" s="39"/>
    </row>
    <row r="665" spans="1:1" x14ac:dyDescent="0.25">
      <c r="A665" s="39"/>
    </row>
    <row r="666" spans="1:1" x14ac:dyDescent="0.25">
      <c r="A666" s="39"/>
    </row>
    <row r="667" spans="1:1" x14ac:dyDescent="0.25">
      <c r="A667" s="39"/>
    </row>
    <row r="668" spans="1:1" x14ac:dyDescent="0.25">
      <c r="A668" s="39"/>
    </row>
    <row r="669" spans="1:1" x14ac:dyDescent="0.25">
      <c r="A669" s="39"/>
    </row>
    <row r="670" spans="1:1" x14ac:dyDescent="0.25">
      <c r="A670" s="39"/>
    </row>
    <row r="671" spans="1:1" x14ac:dyDescent="0.25">
      <c r="A671" s="39"/>
    </row>
    <row r="672" spans="1:1" x14ac:dyDescent="0.25">
      <c r="A672" s="39"/>
    </row>
    <row r="673" spans="1:1" x14ac:dyDescent="0.25">
      <c r="A673" s="39"/>
    </row>
    <row r="674" spans="1:1" x14ac:dyDescent="0.25">
      <c r="A674" s="39"/>
    </row>
    <row r="675" spans="1:1" x14ac:dyDescent="0.25">
      <c r="A675" s="39"/>
    </row>
    <row r="676" spans="1:1" x14ac:dyDescent="0.25">
      <c r="A676" s="39"/>
    </row>
    <row r="677" spans="1:1" x14ac:dyDescent="0.25">
      <c r="A677" s="39"/>
    </row>
    <row r="678" spans="1:1" x14ac:dyDescent="0.25">
      <c r="A678" s="39"/>
    </row>
    <row r="679" spans="1:1" x14ac:dyDescent="0.25">
      <c r="A679" s="39"/>
    </row>
    <row r="680" spans="1:1" x14ac:dyDescent="0.25">
      <c r="A680" s="39"/>
    </row>
    <row r="681" spans="1:1" x14ac:dyDescent="0.25">
      <c r="A681" s="39"/>
    </row>
    <row r="682" spans="1:1" x14ac:dyDescent="0.25">
      <c r="A682" s="39"/>
    </row>
    <row r="683" spans="1:1" x14ac:dyDescent="0.25">
      <c r="A683" s="39"/>
    </row>
    <row r="684" spans="1:1" x14ac:dyDescent="0.25">
      <c r="A684" s="39"/>
    </row>
    <row r="685" spans="1:1" x14ac:dyDescent="0.25">
      <c r="A685" s="39"/>
    </row>
    <row r="686" spans="1:1" x14ac:dyDescent="0.25">
      <c r="A686" s="39"/>
    </row>
    <row r="687" spans="1:1" x14ac:dyDescent="0.25">
      <c r="A687" s="39"/>
    </row>
    <row r="688" spans="1:1" x14ac:dyDescent="0.25">
      <c r="A688" s="39"/>
    </row>
    <row r="689" spans="1:1" x14ac:dyDescent="0.25">
      <c r="A689" s="39"/>
    </row>
    <row r="690" spans="1:1" x14ac:dyDescent="0.25">
      <c r="A690" s="39"/>
    </row>
    <row r="691" spans="1:1" x14ac:dyDescent="0.25">
      <c r="A691" s="39"/>
    </row>
    <row r="692" spans="1:1" x14ac:dyDescent="0.25">
      <c r="A692" s="39"/>
    </row>
    <row r="693" spans="1:1" x14ac:dyDescent="0.25">
      <c r="A693" s="39"/>
    </row>
    <row r="694" spans="1:1" x14ac:dyDescent="0.25">
      <c r="A694" s="39"/>
    </row>
    <row r="695" spans="1:1" x14ac:dyDescent="0.25">
      <c r="A695" s="39"/>
    </row>
    <row r="696" spans="1:1" x14ac:dyDescent="0.25">
      <c r="A696" s="39"/>
    </row>
    <row r="697" spans="1:1" x14ac:dyDescent="0.25">
      <c r="A697" s="39"/>
    </row>
    <row r="698" spans="1:1" x14ac:dyDescent="0.25">
      <c r="A698" s="39"/>
    </row>
    <row r="699" spans="1:1" x14ac:dyDescent="0.25">
      <c r="A699" s="39"/>
    </row>
    <row r="700" spans="1:1" x14ac:dyDescent="0.25">
      <c r="A700" s="39"/>
    </row>
    <row r="701" spans="1:1" x14ac:dyDescent="0.25">
      <c r="A701" s="39"/>
    </row>
    <row r="702" spans="1:1" x14ac:dyDescent="0.25">
      <c r="A702" s="39"/>
    </row>
    <row r="703" spans="1:1" x14ac:dyDescent="0.25">
      <c r="A703" s="39"/>
    </row>
    <row r="704" spans="1:1" x14ac:dyDescent="0.25">
      <c r="A704" s="39"/>
    </row>
    <row r="705" spans="1:1" x14ac:dyDescent="0.25">
      <c r="A705" s="39"/>
    </row>
    <row r="706" spans="1:1" x14ac:dyDescent="0.25">
      <c r="A706" s="39"/>
    </row>
    <row r="707" spans="1:1" x14ac:dyDescent="0.25">
      <c r="A707" s="39"/>
    </row>
    <row r="708" spans="1:1" x14ac:dyDescent="0.25">
      <c r="A708" s="39"/>
    </row>
    <row r="709" spans="1:1" x14ac:dyDescent="0.25">
      <c r="A709" s="39"/>
    </row>
    <row r="710" spans="1:1" x14ac:dyDescent="0.25">
      <c r="A710" s="39"/>
    </row>
    <row r="711" spans="1:1" x14ac:dyDescent="0.25">
      <c r="A711" s="39"/>
    </row>
    <row r="712" spans="1:1" x14ac:dyDescent="0.25">
      <c r="A712" s="39"/>
    </row>
    <row r="713" spans="1:1" x14ac:dyDescent="0.25">
      <c r="A713" s="39"/>
    </row>
    <row r="714" spans="1:1" x14ac:dyDescent="0.25">
      <c r="A714" s="39"/>
    </row>
    <row r="715" spans="1:1" x14ac:dyDescent="0.25">
      <c r="A715" s="39"/>
    </row>
    <row r="716" spans="1:1" x14ac:dyDescent="0.25">
      <c r="A716" s="39"/>
    </row>
    <row r="717" spans="1:1" x14ac:dyDescent="0.25">
      <c r="A717" s="39"/>
    </row>
    <row r="718" spans="1:1" x14ac:dyDescent="0.25">
      <c r="A718" s="39"/>
    </row>
    <row r="719" spans="1:1" x14ac:dyDescent="0.25">
      <c r="A719" s="39"/>
    </row>
    <row r="720" spans="1:1" x14ac:dyDescent="0.25">
      <c r="A720" s="39"/>
    </row>
    <row r="721" spans="1:1" x14ac:dyDescent="0.25">
      <c r="A721" s="39"/>
    </row>
    <row r="722" spans="1:1" x14ac:dyDescent="0.25">
      <c r="A722" s="39"/>
    </row>
    <row r="723" spans="1:1" x14ac:dyDescent="0.25">
      <c r="A723" s="39"/>
    </row>
    <row r="724" spans="1:1" x14ac:dyDescent="0.25">
      <c r="A724" s="39"/>
    </row>
    <row r="725" spans="1:1" x14ac:dyDescent="0.25">
      <c r="A725" s="39"/>
    </row>
    <row r="726" spans="1:1" x14ac:dyDescent="0.25">
      <c r="A726" s="39"/>
    </row>
    <row r="727" spans="1:1" x14ac:dyDescent="0.25">
      <c r="A727" s="39"/>
    </row>
    <row r="728" spans="1:1" x14ac:dyDescent="0.25">
      <c r="A728" s="39"/>
    </row>
    <row r="729" spans="1:1" x14ac:dyDescent="0.25">
      <c r="A729" s="39"/>
    </row>
    <row r="730" spans="1:1" x14ac:dyDescent="0.25">
      <c r="A730" s="39"/>
    </row>
    <row r="731" spans="1:1" x14ac:dyDescent="0.25">
      <c r="A731" s="39"/>
    </row>
    <row r="732" spans="1:1" x14ac:dyDescent="0.25">
      <c r="A732" s="39"/>
    </row>
    <row r="733" spans="1:1" x14ac:dyDescent="0.25">
      <c r="A733" s="39"/>
    </row>
    <row r="734" spans="1:1" x14ac:dyDescent="0.25">
      <c r="A734" s="39"/>
    </row>
    <row r="735" spans="1:1" x14ac:dyDescent="0.25">
      <c r="A735" s="39"/>
    </row>
    <row r="736" spans="1:1" x14ac:dyDescent="0.25">
      <c r="A736" s="39"/>
    </row>
    <row r="737" spans="1:1" x14ac:dyDescent="0.25">
      <c r="A737" s="39"/>
    </row>
    <row r="738" spans="1:1" x14ac:dyDescent="0.25">
      <c r="A738" s="39"/>
    </row>
    <row r="739" spans="1:1" x14ac:dyDescent="0.25">
      <c r="A739" s="39"/>
    </row>
    <row r="740" spans="1:1" x14ac:dyDescent="0.25">
      <c r="A740" s="39"/>
    </row>
    <row r="741" spans="1:1" x14ac:dyDescent="0.25">
      <c r="A741" s="39"/>
    </row>
    <row r="742" spans="1:1" x14ac:dyDescent="0.25">
      <c r="A742" s="39"/>
    </row>
    <row r="743" spans="1:1" x14ac:dyDescent="0.25">
      <c r="A743" s="39"/>
    </row>
    <row r="744" spans="1:1" x14ac:dyDescent="0.25">
      <c r="A744" s="39"/>
    </row>
    <row r="745" spans="1:1" x14ac:dyDescent="0.25">
      <c r="A745" s="39"/>
    </row>
    <row r="746" spans="1:1" x14ac:dyDescent="0.25">
      <c r="A746" s="39"/>
    </row>
    <row r="747" spans="1:1" x14ac:dyDescent="0.25">
      <c r="A747" s="39"/>
    </row>
    <row r="748" spans="1:1" x14ac:dyDescent="0.25">
      <c r="A748" s="39"/>
    </row>
    <row r="749" spans="1:1" x14ac:dyDescent="0.25">
      <c r="A749" s="39"/>
    </row>
    <row r="750" spans="1:1" x14ac:dyDescent="0.25">
      <c r="A750" s="39"/>
    </row>
    <row r="751" spans="1:1" x14ac:dyDescent="0.25">
      <c r="A751" s="39"/>
    </row>
    <row r="752" spans="1:1" x14ac:dyDescent="0.25">
      <c r="A752" s="39"/>
    </row>
    <row r="753" spans="1:1" x14ac:dyDescent="0.25">
      <c r="A753" s="39"/>
    </row>
    <row r="754" spans="1:1" x14ac:dyDescent="0.25">
      <c r="A754" s="39"/>
    </row>
    <row r="755" spans="1:1" x14ac:dyDescent="0.25">
      <c r="A755" s="39"/>
    </row>
    <row r="756" spans="1:1" x14ac:dyDescent="0.25">
      <c r="A756" s="39"/>
    </row>
    <row r="757" spans="1:1" x14ac:dyDescent="0.25">
      <c r="A757" s="39"/>
    </row>
    <row r="758" spans="1:1" x14ac:dyDescent="0.25">
      <c r="A758" s="39"/>
    </row>
    <row r="759" spans="1:1" x14ac:dyDescent="0.25">
      <c r="A759" s="39"/>
    </row>
    <row r="760" spans="1:1" x14ac:dyDescent="0.25">
      <c r="A760" s="39"/>
    </row>
    <row r="761" spans="1:1" x14ac:dyDescent="0.25">
      <c r="A761" s="39"/>
    </row>
    <row r="762" spans="1:1" x14ac:dyDescent="0.25">
      <c r="A762" s="39"/>
    </row>
    <row r="763" spans="1:1" x14ac:dyDescent="0.25">
      <c r="A763" s="39"/>
    </row>
    <row r="764" spans="1:1" x14ac:dyDescent="0.25">
      <c r="A764" s="39"/>
    </row>
    <row r="765" spans="1:1" x14ac:dyDescent="0.25">
      <c r="A765" s="39"/>
    </row>
    <row r="766" spans="1:1" x14ac:dyDescent="0.25">
      <c r="A766" s="39"/>
    </row>
    <row r="767" spans="1:1" x14ac:dyDescent="0.25">
      <c r="A767" s="39"/>
    </row>
    <row r="768" spans="1:1" x14ac:dyDescent="0.25">
      <c r="A768" s="39"/>
    </row>
    <row r="769" spans="1:1" x14ac:dyDescent="0.25">
      <c r="A769" s="39"/>
    </row>
    <row r="770" spans="1:1" x14ac:dyDescent="0.25">
      <c r="A770" s="39"/>
    </row>
    <row r="771" spans="1:1" x14ac:dyDescent="0.25">
      <c r="A771" s="39"/>
    </row>
    <row r="772" spans="1:1" x14ac:dyDescent="0.25">
      <c r="A772" s="39"/>
    </row>
    <row r="773" spans="1:1" x14ac:dyDescent="0.25">
      <c r="A773" s="39"/>
    </row>
    <row r="774" spans="1:1" x14ac:dyDescent="0.25">
      <c r="A774" s="39"/>
    </row>
    <row r="775" spans="1:1" x14ac:dyDescent="0.25">
      <c r="A775" s="39"/>
    </row>
    <row r="776" spans="1:1" x14ac:dyDescent="0.25">
      <c r="A776" s="39"/>
    </row>
    <row r="777" spans="1:1" x14ac:dyDescent="0.25">
      <c r="A777" s="39"/>
    </row>
    <row r="778" spans="1:1" x14ac:dyDescent="0.25">
      <c r="A778" s="39"/>
    </row>
    <row r="779" spans="1:1" x14ac:dyDescent="0.25">
      <c r="A779" s="39"/>
    </row>
    <row r="780" spans="1:1" x14ac:dyDescent="0.25">
      <c r="A780" s="39"/>
    </row>
    <row r="781" spans="1:1" x14ac:dyDescent="0.25">
      <c r="A781" s="39"/>
    </row>
    <row r="782" spans="1:1" x14ac:dyDescent="0.25">
      <c r="A782" s="39"/>
    </row>
    <row r="783" spans="1:1" x14ac:dyDescent="0.25">
      <c r="A783" s="39"/>
    </row>
    <row r="784" spans="1:1" x14ac:dyDescent="0.25">
      <c r="A784" s="39"/>
    </row>
    <row r="785" spans="1:1" x14ac:dyDescent="0.25">
      <c r="A785" s="39"/>
    </row>
    <row r="786" spans="1:1" x14ac:dyDescent="0.25">
      <c r="A786" s="39"/>
    </row>
    <row r="787" spans="1:1" x14ac:dyDescent="0.25">
      <c r="A787" s="39"/>
    </row>
    <row r="788" spans="1:1" x14ac:dyDescent="0.25">
      <c r="A788" s="39"/>
    </row>
    <row r="789" spans="1:1" x14ac:dyDescent="0.25">
      <c r="A789" s="39"/>
    </row>
    <row r="790" spans="1:1" x14ac:dyDescent="0.25">
      <c r="A790" s="39"/>
    </row>
    <row r="791" spans="1:1" x14ac:dyDescent="0.25">
      <c r="A791" s="39"/>
    </row>
    <row r="792" spans="1:1" x14ac:dyDescent="0.25">
      <c r="A792" s="39"/>
    </row>
    <row r="793" spans="1:1" x14ac:dyDescent="0.25">
      <c r="A793" s="39"/>
    </row>
    <row r="794" spans="1:1" x14ac:dyDescent="0.25">
      <c r="A794" s="39"/>
    </row>
    <row r="795" spans="1:1" x14ac:dyDescent="0.25">
      <c r="A795" s="39"/>
    </row>
    <row r="796" spans="1:1" x14ac:dyDescent="0.25">
      <c r="A796" s="39"/>
    </row>
    <row r="797" spans="1:1" x14ac:dyDescent="0.25">
      <c r="A797" s="39"/>
    </row>
    <row r="798" spans="1:1" x14ac:dyDescent="0.25">
      <c r="A798" s="39"/>
    </row>
    <row r="799" spans="1:1" x14ac:dyDescent="0.25">
      <c r="A799" s="39"/>
    </row>
    <row r="800" spans="1:1" x14ac:dyDescent="0.25">
      <c r="A800" s="39"/>
    </row>
    <row r="801" spans="1:1" x14ac:dyDescent="0.25">
      <c r="A801" s="39"/>
    </row>
    <row r="802" spans="1:1" x14ac:dyDescent="0.25">
      <c r="A802" s="39"/>
    </row>
    <row r="803" spans="1:1" x14ac:dyDescent="0.25">
      <c r="A803" s="39"/>
    </row>
    <row r="804" spans="1:1" x14ac:dyDescent="0.25">
      <c r="A804" s="39"/>
    </row>
    <row r="805" spans="1:1" x14ac:dyDescent="0.25">
      <c r="A805" s="39"/>
    </row>
    <row r="806" spans="1:1" x14ac:dyDescent="0.25">
      <c r="A806" s="39"/>
    </row>
    <row r="807" spans="1:1" x14ac:dyDescent="0.25">
      <c r="A807" s="39"/>
    </row>
    <row r="808" spans="1:1" x14ac:dyDescent="0.25">
      <c r="A808" s="39"/>
    </row>
    <row r="809" spans="1:1" x14ac:dyDescent="0.25">
      <c r="A809" s="39"/>
    </row>
    <row r="810" spans="1:1" x14ac:dyDescent="0.25">
      <c r="A810" s="39"/>
    </row>
    <row r="811" spans="1:1" x14ac:dyDescent="0.25">
      <c r="A811" s="39"/>
    </row>
    <row r="812" spans="1:1" x14ac:dyDescent="0.25">
      <c r="A812" s="39"/>
    </row>
    <row r="813" spans="1:1" x14ac:dyDescent="0.25">
      <c r="A813" s="39"/>
    </row>
    <row r="814" spans="1:1" x14ac:dyDescent="0.25">
      <c r="A814" s="39"/>
    </row>
    <row r="815" spans="1:1" x14ac:dyDescent="0.25">
      <c r="A815" s="39"/>
    </row>
    <row r="816" spans="1:1" x14ac:dyDescent="0.25">
      <c r="A816" s="39"/>
    </row>
    <row r="817" spans="1:1" x14ac:dyDescent="0.25">
      <c r="A817" s="39"/>
    </row>
    <row r="818" spans="1:1" x14ac:dyDescent="0.25">
      <c r="A818" s="39"/>
    </row>
    <row r="819" spans="1:1" x14ac:dyDescent="0.25">
      <c r="A819" s="39"/>
    </row>
    <row r="820" spans="1:1" x14ac:dyDescent="0.25">
      <c r="A820" s="39"/>
    </row>
    <row r="821" spans="1:1" x14ac:dyDescent="0.25">
      <c r="A821" s="39"/>
    </row>
    <row r="822" spans="1:1" x14ac:dyDescent="0.25">
      <c r="A822" s="39"/>
    </row>
    <row r="823" spans="1:1" x14ac:dyDescent="0.25">
      <c r="A823" s="39"/>
    </row>
    <row r="824" spans="1:1" x14ac:dyDescent="0.25">
      <c r="A824" s="39"/>
    </row>
    <row r="825" spans="1:1" x14ac:dyDescent="0.25">
      <c r="A825" s="39"/>
    </row>
    <row r="826" spans="1:1" x14ac:dyDescent="0.25">
      <c r="A826" s="39"/>
    </row>
    <row r="827" spans="1:1" x14ac:dyDescent="0.25">
      <c r="A827" s="39"/>
    </row>
    <row r="828" spans="1:1" x14ac:dyDescent="0.25">
      <c r="A828" s="39"/>
    </row>
    <row r="829" spans="1:1" x14ac:dyDescent="0.25">
      <c r="A829" s="39"/>
    </row>
    <row r="830" spans="1:1" x14ac:dyDescent="0.25">
      <c r="A830" s="39"/>
    </row>
    <row r="831" spans="1:1" x14ac:dyDescent="0.25">
      <c r="A831" s="39"/>
    </row>
    <row r="832" spans="1:1" x14ac:dyDescent="0.25">
      <c r="A832" s="39"/>
    </row>
    <row r="833" spans="1:1" x14ac:dyDescent="0.25">
      <c r="A833" s="39"/>
    </row>
    <row r="834" spans="1:1" x14ac:dyDescent="0.25">
      <c r="A834" s="39"/>
    </row>
    <row r="835" spans="1:1" x14ac:dyDescent="0.25">
      <c r="A835" s="39"/>
    </row>
    <row r="836" spans="1:1" x14ac:dyDescent="0.25">
      <c r="A836" s="39"/>
    </row>
    <row r="837" spans="1:1" x14ac:dyDescent="0.25">
      <c r="A837" s="39"/>
    </row>
    <row r="838" spans="1:1" x14ac:dyDescent="0.25">
      <c r="A838" s="39"/>
    </row>
    <row r="839" spans="1:1" x14ac:dyDescent="0.25">
      <c r="A839" s="39"/>
    </row>
    <row r="840" spans="1:1" x14ac:dyDescent="0.25">
      <c r="A840" s="39"/>
    </row>
    <row r="841" spans="1:1" x14ac:dyDescent="0.25">
      <c r="A841" s="39"/>
    </row>
    <row r="842" spans="1:1" x14ac:dyDescent="0.25">
      <c r="A842" s="39"/>
    </row>
    <row r="843" spans="1:1" x14ac:dyDescent="0.25">
      <c r="A843" s="39"/>
    </row>
    <row r="844" spans="1:1" x14ac:dyDescent="0.25">
      <c r="A844" s="39"/>
    </row>
    <row r="845" spans="1:1" x14ac:dyDescent="0.25">
      <c r="A845" s="39"/>
    </row>
    <row r="846" spans="1:1" x14ac:dyDescent="0.25">
      <c r="A846" s="39"/>
    </row>
    <row r="847" spans="1:1" x14ac:dyDescent="0.25">
      <c r="A847" s="39"/>
    </row>
    <row r="848" spans="1:1" x14ac:dyDescent="0.25">
      <c r="A848" s="39"/>
    </row>
    <row r="849" spans="1:1" x14ac:dyDescent="0.25">
      <c r="A849" s="39"/>
    </row>
    <row r="850" spans="1:1" x14ac:dyDescent="0.25">
      <c r="A850" s="39"/>
    </row>
    <row r="851" spans="1:1" x14ac:dyDescent="0.25">
      <c r="A851" s="39"/>
    </row>
    <row r="852" spans="1:1" x14ac:dyDescent="0.25">
      <c r="A852" s="39"/>
    </row>
    <row r="853" spans="1:1" x14ac:dyDescent="0.25">
      <c r="A853" s="39"/>
    </row>
    <row r="854" spans="1:1" x14ac:dyDescent="0.25">
      <c r="A854" s="39"/>
    </row>
    <row r="855" spans="1:1" x14ac:dyDescent="0.25">
      <c r="A855" s="39"/>
    </row>
    <row r="856" spans="1:1" x14ac:dyDescent="0.25">
      <c r="A856" s="39"/>
    </row>
    <row r="857" spans="1:1" x14ac:dyDescent="0.25">
      <c r="A857" s="39"/>
    </row>
    <row r="858" spans="1:1" x14ac:dyDescent="0.25">
      <c r="A858" s="39"/>
    </row>
    <row r="859" spans="1:1" x14ac:dyDescent="0.25">
      <c r="A859" s="39"/>
    </row>
    <row r="860" spans="1:1" x14ac:dyDescent="0.25">
      <c r="A860" s="39"/>
    </row>
    <row r="861" spans="1:1" x14ac:dyDescent="0.25">
      <c r="A861" s="39"/>
    </row>
    <row r="862" spans="1:1" x14ac:dyDescent="0.25">
      <c r="A862" s="39"/>
    </row>
    <row r="863" spans="1:1" x14ac:dyDescent="0.25">
      <c r="A863" s="39"/>
    </row>
    <row r="864" spans="1:1" x14ac:dyDescent="0.25">
      <c r="A864" s="39"/>
    </row>
    <row r="865" spans="1:1" x14ac:dyDescent="0.25">
      <c r="A865" s="39"/>
    </row>
    <row r="866" spans="1:1" x14ac:dyDescent="0.25">
      <c r="A866" s="39"/>
    </row>
    <row r="867" spans="1:1" x14ac:dyDescent="0.25">
      <c r="A867" s="39"/>
    </row>
    <row r="868" spans="1:1" x14ac:dyDescent="0.25">
      <c r="A868" s="39"/>
    </row>
    <row r="869" spans="1:1" x14ac:dyDescent="0.25">
      <c r="A869" s="39"/>
    </row>
    <row r="870" spans="1:1" x14ac:dyDescent="0.25">
      <c r="A870" s="39"/>
    </row>
    <row r="871" spans="1:1" x14ac:dyDescent="0.25">
      <c r="A871" s="39"/>
    </row>
    <row r="872" spans="1:1" x14ac:dyDescent="0.25">
      <c r="A872" s="39"/>
    </row>
    <row r="873" spans="1:1" x14ac:dyDescent="0.25">
      <c r="A873" s="39"/>
    </row>
    <row r="874" spans="1:1" x14ac:dyDescent="0.25">
      <c r="A874" s="39"/>
    </row>
    <row r="875" spans="1:1" x14ac:dyDescent="0.25">
      <c r="A875" s="39"/>
    </row>
    <row r="876" spans="1:1" x14ac:dyDescent="0.25">
      <c r="A876" s="39"/>
    </row>
    <row r="877" spans="1:1" x14ac:dyDescent="0.25">
      <c r="A877" s="39"/>
    </row>
    <row r="878" spans="1:1" x14ac:dyDescent="0.25">
      <c r="A878" s="39"/>
    </row>
    <row r="879" spans="1:1" x14ac:dyDescent="0.25">
      <c r="A879" s="39"/>
    </row>
    <row r="880" spans="1:1" x14ac:dyDescent="0.25">
      <c r="A880" s="39"/>
    </row>
    <row r="881" spans="1:1" x14ac:dyDescent="0.25">
      <c r="A881" s="39"/>
    </row>
    <row r="882" spans="1:1" x14ac:dyDescent="0.25">
      <c r="A882" s="39"/>
    </row>
    <row r="883" spans="1:1" x14ac:dyDescent="0.25">
      <c r="A883" s="39"/>
    </row>
    <row r="884" spans="1:1" x14ac:dyDescent="0.25">
      <c r="A884" s="39"/>
    </row>
    <row r="885" spans="1:1" x14ac:dyDescent="0.25">
      <c r="A885" s="39"/>
    </row>
    <row r="886" spans="1:1" x14ac:dyDescent="0.25">
      <c r="A886" s="39"/>
    </row>
    <row r="887" spans="1:1" x14ac:dyDescent="0.25">
      <c r="A887" s="39"/>
    </row>
    <row r="888" spans="1:1" x14ac:dyDescent="0.25">
      <c r="A888" s="39"/>
    </row>
    <row r="889" spans="1:1" x14ac:dyDescent="0.25">
      <c r="A889" s="39"/>
    </row>
    <row r="890" spans="1:1" x14ac:dyDescent="0.25">
      <c r="A890" s="39"/>
    </row>
    <row r="891" spans="1:1" x14ac:dyDescent="0.25">
      <c r="A891" s="39"/>
    </row>
    <row r="892" spans="1:1" x14ac:dyDescent="0.25">
      <c r="A892" s="39"/>
    </row>
    <row r="893" spans="1:1" x14ac:dyDescent="0.25">
      <c r="A893" s="39"/>
    </row>
    <row r="894" spans="1:1" x14ac:dyDescent="0.25">
      <c r="A894" s="39"/>
    </row>
    <row r="895" spans="1:1" x14ac:dyDescent="0.25">
      <c r="A895" s="39"/>
    </row>
    <row r="896" spans="1:1" x14ac:dyDescent="0.25">
      <c r="A896" s="39"/>
    </row>
    <row r="897" spans="1:1" x14ac:dyDescent="0.25">
      <c r="A897" s="39"/>
    </row>
    <row r="898" spans="1:1" x14ac:dyDescent="0.25">
      <c r="A898" s="39"/>
    </row>
    <row r="899" spans="1:1" x14ac:dyDescent="0.25">
      <c r="A899" s="39"/>
    </row>
    <row r="900" spans="1:1" x14ac:dyDescent="0.25">
      <c r="A900" s="39"/>
    </row>
    <row r="901" spans="1:1" x14ac:dyDescent="0.25">
      <c r="A901" s="39"/>
    </row>
    <row r="902" spans="1:1" x14ac:dyDescent="0.25">
      <c r="A902" s="39"/>
    </row>
    <row r="903" spans="1:1" x14ac:dyDescent="0.25">
      <c r="A903" s="39"/>
    </row>
    <row r="904" spans="1:1" x14ac:dyDescent="0.25">
      <c r="A904" s="39"/>
    </row>
    <row r="905" spans="1:1" x14ac:dyDescent="0.25">
      <c r="A905" s="39"/>
    </row>
    <row r="906" spans="1:1" x14ac:dyDescent="0.25">
      <c r="A906" s="39"/>
    </row>
    <row r="907" spans="1:1" x14ac:dyDescent="0.25">
      <c r="A907" s="39"/>
    </row>
    <row r="908" spans="1:1" x14ac:dyDescent="0.25">
      <c r="A908" s="39"/>
    </row>
    <row r="909" spans="1:1" x14ac:dyDescent="0.25">
      <c r="A909" s="39"/>
    </row>
    <row r="910" spans="1:1" x14ac:dyDescent="0.25">
      <c r="A910" s="39"/>
    </row>
    <row r="911" spans="1:1" x14ac:dyDescent="0.25">
      <c r="A911" s="39"/>
    </row>
    <row r="912" spans="1:1" x14ac:dyDescent="0.25">
      <c r="A912" s="39"/>
    </row>
    <row r="913" spans="1:1" x14ac:dyDescent="0.25">
      <c r="A913" s="39"/>
    </row>
    <row r="914" spans="1:1" x14ac:dyDescent="0.25">
      <c r="A914" s="39"/>
    </row>
    <row r="915" spans="1:1" x14ac:dyDescent="0.25">
      <c r="A915" s="39"/>
    </row>
    <row r="916" spans="1:1" x14ac:dyDescent="0.25">
      <c r="A916" s="39"/>
    </row>
    <row r="917" spans="1:1" x14ac:dyDescent="0.25">
      <c r="A917" s="39"/>
    </row>
    <row r="918" spans="1:1" x14ac:dyDescent="0.25">
      <c r="A918" s="39"/>
    </row>
    <row r="919" spans="1:1" x14ac:dyDescent="0.25">
      <c r="A919" s="39"/>
    </row>
    <row r="920" spans="1:1" x14ac:dyDescent="0.25">
      <c r="A920" s="39"/>
    </row>
    <row r="921" spans="1:1" x14ac:dyDescent="0.25">
      <c r="A921" s="39"/>
    </row>
    <row r="922" spans="1:1" x14ac:dyDescent="0.25">
      <c r="A922" s="39"/>
    </row>
    <row r="923" spans="1:1" x14ac:dyDescent="0.25">
      <c r="A923" s="39"/>
    </row>
    <row r="924" spans="1:1" x14ac:dyDescent="0.25">
      <c r="A924" s="39"/>
    </row>
    <row r="925" spans="1:1" x14ac:dyDescent="0.25">
      <c r="A925" s="39"/>
    </row>
    <row r="926" spans="1:1" x14ac:dyDescent="0.25">
      <c r="A926" s="39"/>
    </row>
    <row r="927" spans="1:1" x14ac:dyDescent="0.25">
      <c r="A927" s="39"/>
    </row>
    <row r="928" spans="1:1" x14ac:dyDescent="0.25">
      <c r="A928" s="39"/>
    </row>
    <row r="929" spans="1:1" x14ac:dyDescent="0.25">
      <c r="A929" s="39"/>
    </row>
    <row r="930" spans="1:1" x14ac:dyDescent="0.25">
      <c r="A930" s="39"/>
    </row>
    <row r="931" spans="1:1" x14ac:dyDescent="0.25">
      <c r="A931" s="39"/>
    </row>
    <row r="932" spans="1:1" x14ac:dyDescent="0.25">
      <c r="A932" s="39"/>
    </row>
    <row r="933" spans="1:1" x14ac:dyDescent="0.25">
      <c r="A933" s="39"/>
    </row>
    <row r="934" spans="1:1" x14ac:dyDescent="0.25">
      <c r="A934" s="39"/>
    </row>
    <row r="935" spans="1:1" x14ac:dyDescent="0.25">
      <c r="A935" s="39"/>
    </row>
    <row r="936" spans="1:1" x14ac:dyDescent="0.25">
      <c r="A936" s="39"/>
    </row>
    <row r="937" spans="1:1" x14ac:dyDescent="0.25">
      <c r="A937" s="39"/>
    </row>
    <row r="938" spans="1:1" x14ac:dyDescent="0.25">
      <c r="A938" s="39"/>
    </row>
    <row r="939" spans="1:1" x14ac:dyDescent="0.25">
      <c r="A939" s="39"/>
    </row>
    <row r="940" spans="1:1" x14ac:dyDescent="0.25">
      <c r="A940" s="39"/>
    </row>
    <row r="941" spans="1:1" x14ac:dyDescent="0.25">
      <c r="A941" s="39"/>
    </row>
    <row r="942" spans="1:1" x14ac:dyDescent="0.25">
      <c r="A942" s="39"/>
    </row>
    <row r="943" spans="1:1" x14ac:dyDescent="0.25">
      <c r="A943" s="39"/>
    </row>
    <row r="944" spans="1:1" x14ac:dyDescent="0.25">
      <c r="A944" s="39"/>
    </row>
    <row r="945" spans="1:1" x14ac:dyDescent="0.25">
      <c r="A945" s="39"/>
    </row>
    <row r="946" spans="1:1" x14ac:dyDescent="0.25">
      <c r="A946" s="39"/>
    </row>
    <row r="947" spans="1:1" x14ac:dyDescent="0.25">
      <c r="A947" s="39"/>
    </row>
    <row r="948" spans="1:1" x14ac:dyDescent="0.25">
      <c r="A948" s="39"/>
    </row>
    <row r="949" spans="1:1" x14ac:dyDescent="0.25">
      <c r="A949" s="39"/>
    </row>
    <row r="950" spans="1:1" x14ac:dyDescent="0.25">
      <c r="A950" s="39"/>
    </row>
    <row r="951" spans="1:1" x14ac:dyDescent="0.25">
      <c r="A951" s="39"/>
    </row>
    <row r="952" spans="1:1" x14ac:dyDescent="0.25">
      <c r="A952" s="39"/>
    </row>
    <row r="953" spans="1:1" x14ac:dyDescent="0.25">
      <c r="A953" s="39"/>
    </row>
    <row r="954" spans="1:1" x14ac:dyDescent="0.25">
      <c r="A954" s="39"/>
    </row>
    <row r="955" spans="1:1" x14ac:dyDescent="0.25">
      <c r="A955" s="39"/>
    </row>
    <row r="956" spans="1:1" x14ac:dyDescent="0.25">
      <c r="A956" s="39"/>
    </row>
    <row r="957" spans="1:1" x14ac:dyDescent="0.25">
      <c r="A957" s="39"/>
    </row>
    <row r="958" spans="1:1" x14ac:dyDescent="0.25">
      <c r="A958" s="39"/>
    </row>
    <row r="959" spans="1:1" x14ac:dyDescent="0.25">
      <c r="A959" s="39"/>
    </row>
    <row r="960" spans="1:1" x14ac:dyDescent="0.25">
      <c r="A960" s="39"/>
    </row>
    <row r="961" spans="1:1" x14ac:dyDescent="0.25">
      <c r="A961" s="39"/>
    </row>
    <row r="962" spans="1:1" x14ac:dyDescent="0.25">
      <c r="A962" s="39"/>
    </row>
    <row r="963" spans="1:1" x14ac:dyDescent="0.25">
      <c r="A963" s="39"/>
    </row>
    <row r="964" spans="1:1" x14ac:dyDescent="0.25">
      <c r="A964" s="39"/>
    </row>
    <row r="965" spans="1:1" x14ac:dyDescent="0.25">
      <c r="A965" s="39"/>
    </row>
    <row r="966" spans="1:1" x14ac:dyDescent="0.25">
      <c r="A966" s="39"/>
    </row>
    <row r="967" spans="1:1" x14ac:dyDescent="0.25">
      <c r="A967" s="39"/>
    </row>
    <row r="968" spans="1:1" x14ac:dyDescent="0.25">
      <c r="A968" s="39"/>
    </row>
    <row r="969" spans="1:1" x14ac:dyDescent="0.25">
      <c r="A969" s="39"/>
    </row>
    <row r="970" spans="1:1" x14ac:dyDescent="0.25">
      <c r="A970" s="39"/>
    </row>
    <row r="971" spans="1:1" x14ac:dyDescent="0.25">
      <c r="A971" s="39"/>
    </row>
    <row r="972" spans="1:1" x14ac:dyDescent="0.25">
      <c r="A972" s="39"/>
    </row>
    <row r="973" spans="1:1" x14ac:dyDescent="0.25">
      <c r="A973" s="39"/>
    </row>
    <row r="974" spans="1:1" x14ac:dyDescent="0.25">
      <c r="A974" s="39"/>
    </row>
    <row r="975" spans="1:1" x14ac:dyDescent="0.25">
      <c r="A975" s="39"/>
    </row>
    <row r="976" spans="1:1" x14ac:dyDescent="0.25">
      <c r="A976" s="39"/>
    </row>
    <row r="977" spans="1:1" x14ac:dyDescent="0.25">
      <c r="A977" s="39"/>
    </row>
    <row r="978" spans="1:1" x14ac:dyDescent="0.25">
      <c r="A978" s="39"/>
    </row>
    <row r="979" spans="1:1" x14ac:dyDescent="0.25">
      <c r="A979" s="39"/>
    </row>
    <row r="980" spans="1:1" x14ac:dyDescent="0.25">
      <c r="A980" s="39"/>
    </row>
    <row r="981" spans="1:1" x14ac:dyDescent="0.25">
      <c r="A981" s="39"/>
    </row>
    <row r="982" spans="1:1" x14ac:dyDescent="0.25">
      <c r="A982" s="39"/>
    </row>
    <row r="983" spans="1:1" x14ac:dyDescent="0.25">
      <c r="A983" s="39"/>
    </row>
    <row r="984" spans="1:1" x14ac:dyDescent="0.25">
      <c r="A984" s="39"/>
    </row>
    <row r="985" spans="1:1" x14ac:dyDescent="0.25">
      <c r="A985" s="39"/>
    </row>
    <row r="986" spans="1:1" x14ac:dyDescent="0.25">
      <c r="A986" s="39"/>
    </row>
    <row r="987" spans="1:1" x14ac:dyDescent="0.25">
      <c r="A987" s="39"/>
    </row>
    <row r="988" spans="1:1" x14ac:dyDescent="0.25">
      <c r="A988" s="39"/>
    </row>
    <row r="989" spans="1:1" x14ac:dyDescent="0.25">
      <c r="A989" s="39"/>
    </row>
    <row r="990" spans="1:1" x14ac:dyDescent="0.25">
      <c r="A990" s="39"/>
    </row>
    <row r="991" spans="1:1" x14ac:dyDescent="0.25">
      <c r="A991" s="39"/>
    </row>
    <row r="992" spans="1:1" x14ac:dyDescent="0.25">
      <c r="A992" s="39"/>
    </row>
    <row r="993" spans="1:1" x14ac:dyDescent="0.25">
      <c r="A993" s="39"/>
    </row>
    <row r="994" spans="1:1" x14ac:dyDescent="0.25">
      <c r="A994" s="39"/>
    </row>
    <row r="995" spans="1:1" x14ac:dyDescent="0.25">
      <c r="A995" s="39"/>
    </row>
    <row r="996" spans="1:1" x14ac:dyDescent="0.25">
      <c r="A996" s="39"/>
    </row>
    <row r="997" spans="1:1" x14ac:dyDescent="0.25">
      <c r="A997" s="39"/>
    </row>
    <row r="998" spans="1:1" x14ac:dyDescent="0.25">
      <c r="A998" s="39"/>
    </row>
    <row r="999" spans="1:1" x14ac:dyDescent="0.25">
      <c r="A999" s="39"/>
    </row>
    <row r="1000" spans="1:1" x14ac:dyDescent="0.25">
      <c r="A1000" s="39"/>
    </row>
    <row r="1001" spans="1:1" x14ac:dyDescent="0.25">
      <c r="A1001" s="39"/>
    </row>
    <row r="1002" spans="1:1" x14ac:dyDescent="0.25">
      <c r="A1002" s="39"/>
    </row>
    <row r="1003" spans="1:1" x14ac:dyDescent="0.25">
      <c r="A1003" s="39"/>
    </row>
    <row r="1004" spans="1:1" x14ac:dyDescent="0.25">
      <c r="A1004" s="39"/>
    </row>
    <row r="1005" spans="1:1" x14ac:dyDescent="0.25">
      <c r="A1005" s="39"/>
    </row>
    <row r="1006" spans="1:1" x14ac:dyDescent="0.25">
      <c r="A1006" s="39"/>
    </row>
    <row r="1007" spans="1:1" x14ac:dyDescent="0.25">
      <c r="A1007" s="39"/>
    </row>
    <row r="1008" spans="1:1" x14ac:dyDescent="0.25">
      <c r="A1008" s="39"/>
    </row>
    <row r="1009" spans="1:1" x14ac:dyDescent="0.25">
      <c r="A1009" s="39"/>
    </row>
    <row r="1010" spans="1:1" x14ac:dyDescent="0.25">
      <c r="A1010" s="39"/>
    </row>
    <row r="1011" spans="1:1" x14ac:dyDescent="0.25">
      <c r="A1011" s="39"/>
    </row>
    <row r="1012" spans="1:1" x14ac:dyDescent="0.25">
      <c r="A1012" s="39"/>
    </row>
    <row r="1013" spans="1:1" x14ac:dyDescent="0.25">
      <c r="A1013" s="39"/>
    </row>
    <row r="1014" spans="1:1" x14ac:dyDescent="0.25">
      <c r="A1014" s="39"/>
    </row>
    <row r="1015" spans="1:1" x14ac:dyDescent="0.25">
      <c r="A1015" s="39"/>
    </row>
    <row r="1016" spans="1:1" x14ac:dyDescent="0.25">
      <c r="A1016" s="39"/>
    </row>
    <row r="1017" spans="1:1" x14ac:dyDescent="0.25">
      <c r="A1017" s="39"/>
    </row>
    <row r="1018" spans="1:1" x14ac:dyDescent="0.25">
      <c r="A1018" s="39"/>
    </row>
    <row r="1019" spans="1:1" x14ac:dyDescent="0.25">
      <c r="A1019" s="39"/>
    </row>
    <row r="1020" spans="1:1" x14ac:dyDescent="0.25">
      <c r="A1020" s="39"/>
    </row>
    <row r="1021" spans="1:1" x14ac:dyDescent="0.25">
      <c r="A1021" s="39"/>
    </row>
    <row r="1022" spans="1:1" x14ac:dyDescent="0.25">
      <c r="A1022" s="39"/>
    </row>
    <row r="1023" spans="1:1" x14ac:dyDescent="0.25">
      <c r="A1023" s="39"/>
    </row>
    <row r="1024" spans="1:1" x14ac:dyDescent="0.25">
      <c r="A1024" s="39"/>
    </row>
    <row r="1025" spans="1:1" x14ac:dyDescent="0.25">
      <c r="A1025" s="39"/>
    </row>
    <row r="1026" spans="1:1" x14ac:dyDescent="0.25">
      <c r="A1026" s="39"/>
    </row>
    <row r="1027" spans="1:1" x14ac:dyDescent="0.25">
      <c r="A1027" s="39"/>
    </row>
    <row r="1028" spans="1:1" x14ac:dyDescent="0.25">
      <c r="A1028" s="39"/>
    </row>
    <row r="1029" spans="1:1" x14ac:dyDescent="0.25">
      <c r="A1029" s="39"/>
    </row>
    <row r="1030" spans="1:1" x14ac:dyDescent="0.25">
      <c r="A1030" s="39"/>
    </row>
    <row r="1031" spans="1:1" x14ac:dyDescent="0.25">
      <c r="A1031" s="39"/>
    </row>
    <row r="1032" spans="1:1" x14ac:dyDescent="0.25">
      <c r="A1032" s="39"/>
    </row>
    <row r="1033" spans="1:1" x14ac:dyDescent="0.25">
      <c r="A1033" s="39"/>
    </row>
    <row r="1034" spans="1:1" x14ac:dyDescent="0.25">
      <c r="A1034" s="39"/>
    </row>
    <row r="1035" spans="1:1" x14ac:dyDescent="0.25">
      <c r="A1035" s="39"/>
    </row>
    <row r="1036" spans="1:1" x14ac:dyDescent="0.25">
      <c r="A1036" s="39"/>
    </row>
    <row r="1037" spans="1:1" x14ac:dyDescent="0.25">
      <c r="A1037" s="39"/>
    </row>
    <row r="1038" spans="1:1" x14ac:dyDescent="0.25">
      <c r="A1038" s="39"/>
    </row>
    <row r="1039" spans="1:1" x14ac:dyDescent="0.25">
      <c r="A1039" s="39"/>
    </row>
    <row r="1040" spans="1:1" x14ac:dyDescent="0.25">
      <c r="A1040" s="39"/>
    </row>
    <row r="1041" spans="1:1" x14ac:dyDescent="0.25">
      <c r="A1041" s="39"/>
    </row>
    <row r="1042" spans="1:1" x14ac:dyDescent="0.25">
      <c r="A1042" s="39"/>
    </row>
    <row r="1043" spans="1:1" x14ac:dyDescent="0.25">
      <c r="A1043" s="39"/>
    </row>
    <row r="1044" spans="1:1" x14ac:dyDescent="0.25">
      <c r="A1044" s="39"/>
    </row>
    <row r="1045" spans="1:1" x14ac:dyDescent="0.25">
      <c r="A1045" s="39"/>
    </row>
    <row r="1046" spans="1:1" x14ac:dyDescent="0.25">
      <c r="A1046" s="39"/>
    </row>
    <row r="1047" spans="1:1" x14ac:dyDescent="0.25">
      <c r="A1047" s="39"/>
    </row>
    <row r="1048" spans="1:1" x14ac:dyDescent="0.25">
      <c r="A1048" s="39"/>
    </row>
    <row r="1049" spans="1:1" x14ac:dyDescent="0.25">
      <c r="A1049" s="39"/>
    </row>
    <row r="1050" spans="1:1" x14ac:dyDescent="0.25">
      <c r="A1050" s="39"/>
    </row>
    <row r="1051" spans="1:1" x14ac:dyDescent="0.25">
      <c r="A1051" s="39"/>
    </row>
    <row r="1052" spans="1:1" x14ac:dyDescent="0.25">
      <c r="A1052" s="39"/>
    </row>
    <row r="1053" spans="1:1" x14ac:dyDescent="0.25">
      <c r="A1053" s="39"/>
    </row>
    <row r="1054" spans="1:1" x14ac:dyDescent="0.25">
      <c r="A1054" s="39"/>
    </row>
    <row r="1055" spans="1:1" x14ac:dyDescent="0.25">
      <c r="A1055" s="39"/>
    </row>
    <row r="1056" spans="1:1" x14ac:dyDescent="0.25">
      <c r="A1056" s="39"/>
    </row>
    <row r="1057" spans="1:1" x14ac:dyDescent="0.25">
      <c r="A1057" s="39"/>
    </row>
    <row r="1058" spans="1:1" x14ac:dyDescent="0.25">
      <c r="A1058" s="39"/>
    </row>
    <row r="1059" spans="1:1" x14ac:dyDescent="0.25">
      <c r="A1059" s="39"/>
    </row>
    <row r="1060" spans="1:1" x14ac:dyDescent="0.25">
      <c r="A1060" s="39"/>
    </row>
    <row r="1061" spans="1:1" x14ac:dyDescent="0.25">
      <c r="A1061" s="39"/>
    </row>
    <row r="1062" spans="1:1" x14ac:dyDescent="0.25">
      <c r="A1062" s="39"/>
    </row>
    <row r="1063" spans="1:1" x14ac:dyDescent="0.25">
      <c r="A1063" s="39"/>
    </row>
    <row r="1064" spans="1:1" x14ac:dyDescent="0.25">
      <c r="A1064" s="39"/>
    </row>
    <row r="1065" spans="1:1" x14ac:dyDescent="0.25">
      <c r="A1065" s="39"/>
    </row>
    <row r="1066" spans="1:1" x14ac:dyDescent="0.25">
      <c r="A1066" s="39"/>
    </row>
    <row r="1067" spans="1:1" x14ac:dyDescent="0.25">
      <c r="A1067" s="39"/>
    </row>
    <row r="1068" spans="1:1" x14ac:dyDescent="0.25">
      <c r="A1068" s="39"/>
    </row>
    <row r="1069" spans="1:1" x14ac:dyDescent="0.25">
      <c r="A1069" s="39"/>
    </row>
    <row r="1070" spans="1:1" x14ac:dyDescent="0.25">
      <c r="A1070" s="39"/>
    </row>
    <row r="1071" spans="1:1" x14ac:dyDescent="0.25">
      <c r="A1071" s="39"/>
    </row>
    <row r="1072" spans="1:1" x14ac:dyDescent="0.25">
      <c r="A1072" s="39"/>
    </row>
    <row r="1073" spans="1:1" x14ac:dyDescent="0.25">
      <c r="A1073" s="39"/>
    </row>
    <row r="1074" spans="1:1" x14ac:dyDescent="0.25">
      <c r="A1074" s="39"/>
    </row>
    <row r="1075" spans="1:1" x14ac:dyDescent="0.25">
      <c r="A1075" s="39"/>
    </row>
    <row r="1076" spans="1:1" x14ac:dyDescent="0.25">
      <c r="A1076" s="39"/>
    </row>
    <row r="1077" spans="1:1" x14ac:dyDescent="0.25">
      <c r="A1077" s="39"/>
    </row>
    <row r="1078" spans="1:1" x14ac:dyDescent="0.25">
      <c r="A1078" s="39"/>
    </row>
    <row r="1079" spans="1:1" x14ac:dyDescent="0.25">
      <c r="A1079" s="39"/>
    </row>
    <row r="1080" spans="1:1" x14ac:dyDescent="0.25">
      <c r="A1080" s="39"/>
    </row>
    <row r="1081" spans="1:1" x14ac:dyDescent="0.25">
      <c r="A1081" s="39"/>
    </row>
    <row r="1082" spans="1:1" x14ac:dyDescent="0.25">
      <c r="A1082" s="39"/>
    </row>
    <row r="1083" spans="1:1" x14ac:dyDescent="0.25">
      <c r="A1083" s="39"/>
    </row>
    <row r="1084" spans="1:1" x14ac:dyDescent="0.25">
      <c r="A1084" s="39"/>
    </row>
    <row r="1085" spans="1:1" x14ac:dyDescent="0.25">
      <c r="A1085" s="39"/>
    </row>
    <row r="1086" spans="1:1" x14ac:dyDescent="0.25">
      <c r="A1086" s="39"/>
    </row>
    <row r="1087" spans="1:1" x14ac:dyDescent="0.25">
      <c r="A1087" s="39"/>
    </row>
    <row r="1088" spans="1:1" x14ac:dyDescent="0.25">
      <c r="A1088" s="39"/>
    </row>
    <row r="1089" spans="1:1" x14ac:dyDescent="0.25">
      <c r="A1089" s="39"/>
    </row>
    <row r="1090" spans="1:1" x14ac:dyDescent="0.25">
      <c r="A1090" s="39"/>
    </row>
    <row r="1091" spans="1:1" x14ac:dyDescent="0.25">
      <c r="A1091" s="39"/>
    </row>
    <row r="1092" spans="1:1" x14ac:dyDescent="0.25">
      <c r="A1092" s="39"/>
    </row>
    <row r="1093" spans="1:1" x14ac:dyDescent="0.25">
      <c r="A1093" s="39"/>
    </row>
    <row r="1094" spans="1:1" x14ac:dyDescent="0.25">
      <c r="A1094" s="39"/>
    </row>
    <row r="1095" spans="1:1" x14ac:dyDescent="0.25">
      <c r="A1095" s="39"/>
    </row>
    <row r="1096" spans="1:1" x14ac:dyDescent="0.25">
      <c r="A1096" s="39"/>
    </row>
    <row r="1097" spans="1:1" x14ac:dyDescent="0.25">
      <c r="A1097" s="39"/>
    </row>
    <row r="1098" spans="1:1" x14ac:dyDescent="0.25">
      <c r="A1098" s="39"/>
    </row>
    <row r="1099" spans="1:1" x14ac:dyDescent="0.25">
      <c r="A1099" s="39"/>
    </row>
    <row r="1100" spans="1:1" x14ac:dyDescent="0.25">
      <c r="A1100" s="39"/>
    </row>
    <row r="1101" spans="1:1" x14ac:dyDescent="0.25">
      <c r="A1101" s="39"/>
    </row>
    <row r="1102" spans="1:1" x14ac:dyDescent="0.25">
      <c r="A1102" s="39"/>
    </row>
    <row r="1103" spans="1:1" x14ac:dyDescent="0.25">
      <c r="A1103" s="39"/>
    </row>
    <row r="1104" spans="1:1" x14ac:dyDescent="0.25">
      <c r="A1104" s="39"/>
    </row>
    <row r="1105" spans="1:1" x14ac:dyDescent="0.25">
      <c r="A1105" s="39"/>
    </row>
    <row r="1106" spans="1:1" x14ac:dyDescent="0.25">
      <c r="A1106" s="39"/>
    </row>
    <row r="1107" spans="1:1" x14ac:dyDescent="0.25">
      <c r="A1107" s="39"/>
    </row>
    <row r="1108" spans="1:1" x14ac:dyDescent="0.25">
      <c r="A1108" s="39"/>
    </row>
    <row r="1109" spans="1:1" x14ac:dyDescent="0.25">
      <c r="A1109" s="39"/>
    </row>
    <row r="1110" spans="1:1" x14ac:dyDescent="0.25">
      <c r="A1110" s="39"/>
    </row>
    <row r="1111" spans="1:1" x14ac:dyDescent="0.25">
      <c r="A1111" s="39"/>
    </row>
    <row r="1112" spans="1:1" x14ac:dyDescent="0.25">
      <c r="A1112" s="39"/>
    </row>
    <row r="1113" spans="1:1" x14ac:dyDescent="0.25">
      <c r="A1113" s="39"/>
    </row>
    <row r="1114" spans="1:1" x14ac:dyDescent="0.25">
      <c r="A1114" s="39"/>
    </row>
    <row r="1115" spans="1:1" x14ac:dyDescent="0.25">
      <c r="A1115" s="39"/>
    </row>
    <row r="1116" spans="1:1" x14ac:dyDescent="0.25">
      <c r="A1116" s="39"/>
    </row>
    <row r="1117" spans="1:1" x14ac:dyDescent="0.25">
      <c r="A1117" s="39"/>
    </row>
    <row r="1118" spans="1:1" x14ac:dyDescent="0.25">
      <c r="A1118" s="39"/>
    </row>
    <row r="1119" spans="1:1" x14ac:dyDescent="0.25">
      <c r="A1119" s="39"/>
    </row>
    <row r="1120" spans="1:1" x14ac:dyDescent="0.25">
      <c r="A1120" s="39"/>
    </row>
    <row r="1121" spans="1:1" x14ac:dyDescent="0.25">
      <c r="A1121" s="39"/>
    </row>
    <row r="1122" spans="1:1" x14ac:dyDescent="0.25">
      <c r="A1122" s="39"/>
    </row>
    <row r="1123" spans="1:1" x14ac:dyDescent="0.25">
      <c r="A1123" s="39"/>
    </row>
    <row r="1124" spans="1:1" x14ac:dyDescent="0.25">
      <c r="A1124" s="39"/>
    </row>
    <row r="1125" spans="1:1" x14ac:dyDescent="0.25">
      <c r="A1125" s="39"/>
    </row>
    <row r="1126" spans="1:1" x14ac:dyDescent="0.25">
      <c r="A1126" s="39"/>
    </row>
    <row r="1127" spans="1:1" x14ac:dyDescent="0.25">
      <c r="A1127" s="39"/>
    </row>
    <row r="1128" spans="1:1" x14ac:dyDescent="0.25">
      <c r="A1128" s="39"/>
    </row>
    <row r="1129" spans="1:1" x14ac:dyDescent="0.25">
      <c r="A1129" s="39"/>
    </row>
    <row r="1130" spans="1:1" x14ac:dyDescent="0.25">
      <c r="A1130" s="39"/>
    </row>
    <row r="1131" spans="1:1" x14ac:dyDescent="0.25">
      <c r="A1131" s="39"/>
    </row>
    <row r="1132" spans="1:1" x14ac:dyDescent="0.25">
      <c r="A1132" s="39"/>
    </row>
    <row r="1133" spans="1:1" x14ac:dyDescent="0.25">
      <c r="A1133" s="39"/>
    </row>
    <row r="1134" spans="1:1" x14ac:dyDescent="0.25">
      <c r="A1134" s="39"/>
    </row>
    <row r="1135" spans="1:1" x14ac:dyDescent="0.25">
      <c r="A1135" s="39"/>
    </row>
    <row r="1136" spans="1:1" x14ac:dyDescent="0.25">
      <c r="A1136" s="39"/>
    </row>
    <row r="1137" spans="1:1" x14ac:dyDescent="0.25">
      <c r="A1137" s="39"/>
    </row>
    <row r="1138" spans="1:1" x14ac:dyDescent="0.25">
      <c r="A1138" s="39"/>
    </row>
    <row r="1139" spans="1:1" x14ac:dyDescent="0.25">
      <c r="A1139" s="39"/>
    </row>
    <row r="1140" spans="1:1" x14ac:dyDescent="0.25">
      <c r="A1140" s="39"/>
    </row>
    <row r="1141" spans="1:1" x14ac:dyDescent="0.25">
      <c r="A1141" s="39"/>
    </row>
    <row r="1142" spans="1:1" x14ac:dyDescent="0.25">
      <c r="A1142" s="39"/>
    </row>
    <row r="1143" spans="1:1" x14ac:dyDescent="0.25">
      <c r="A1143" s="39"/>
    </row>
    <row r="1144" spans="1:1" x14ac:dyDescent="0.25">
      <c r="A1144" s="39"/>
    </row>
    <row r="1145" spans="1:1" x14ac:dyDescent="0.25">
      <c r="A1145" s="39"/>
    </row>
    <row r="1146" spans="1:1" x14ac:dyDescent="0.25">
      <c r="A1146" s="39"/>
    </row>
    <row r="1147" spans="1:1" x14ac:dyDescent="0.25">
      <c r="A1147" s="39"/>
    </row>
    <row r="1148" spans="1:1" x14ac:dyDescent="0.25">
      <c r="A1148" s="39"/>
    </row>
    <row r="1149" spans="1:1" x14ac:dyDescent="0.25">
      <c r="A1149" s="39"/>
    </row>
    <row r="1150" spans="1:1" x14ac:dyDescent="0.25">
      <c r="A1150" s="39"/>
    </row>
    <row r="1151" spans="1:1" x14ac:dyDescent="0.25">
      <c r="A1151" s="39"/>
    </row>
    <row r="1152" spans="1:1" x14ac:dyDescent="0.25">
      <c r="A1152" s="39"/>
    </row>
    <row r="1153" spans="1:1" x14ac:dyDescent="0.25">
      <c r="A1153" s="39"/>
    </row>
    <row r="1154" spans="1:1" x14ac:dyDescent="0.25">
      <c r="A1154" s="39"/>
    </row>
    <row r="1155" spans="1:1" x14ac:dyDescent="0.25">
      <c r="A1155" s="39"/>
    </row>
    <row r="1156" spans="1:1" x14ac:dyDescent="0.25">
      <c r="A1156" s="39"/>
    </row>
    <row r="1157" spans="1:1" x14ac:dyDescent="0.25">
      <c r="A1157" s="39"/>
    </row>
    <row r="1158" spans="1:1" x14ac:dyDescent="0.25">
      <c r="A1158" s="39"/>
    </row>
    <row r="1159" spans="1:1" x14ac:dyDescent="0.25">
      <c r="A1159" s="39"/>
    </row>
    <row r="1160" spans="1:1" x14ac:dyDescent="0.25">
      <c r="A1160" s="39"/>
    </row>
    <row r="1161" spans="1:1" x14ac:dyDescent="0.25">
      <c r="A1161" s="39"/>
    </row>
    <row r="1162" spans="1:1" x14ac:dyDescent="0.25">
      <c r="A1162" s="39"/>
    </row>
    <row r="1163" spans="1:1" x14ac:dyDescent="0.25">
      <c r="A1163" s="39"/>
    </row>
    <row r="1164" spans="1:1" x14ac:dyDescent="0.25">
      <c r="A1164" s="39"/>
    </row>
    <row r="1165" spans="1:1" x14ac:dyDescent="0.25">
      <c r="A1165" s="39"/>
    </row>
    <row r="1166" spans="1:1" x14ac:dyDescent="0.25">
      <c r="A1166" s="39"/>
    </row>
    <row r="1167" spans="1:1" x14ac:dyDescent="0.25">
      <c r="A1167" s="39"/>
    </row>
    <row r="1168" spans="1:1" x14ac:dyDescent="0.25">
      <c r="A1168" s="39"/>
    </row>
    <row r="1169" spans="1:1" x14ac:dyDescent="0.25">
      <c r="A1169" s="39"/>
    </row>
    <row r="1170" spans="1:1" x14ac:dyDescent="0.25">
      <c r="A1170" s="39"/>
    </row>
    <row r="1171" spans="1:1" x14ac:dyDescent="0.25">
      <c r="A1171" s="39"/>
    </row>
    <row r="1172" spans="1:1" x14ac:dyDescent="0.25">
      <c r="A1172" s="39"/>
    </row>
    <row r="1173" spans="1:1" x14ac:dyDescent="0.25">
      <c r="A1173" s="39"/>
    </row>
    <row r="1174" spans="1:1" x14ac:dyDescent="0.25">
      <c r="A1174" s="39"/>
    </row>
    <row r="1175" spans="1:1" x14ac:dyDescent="0.25">
      <c r="A1175" s="39"/>
    </row>
    <row r="1176" spans="1:1" x14ac:dyDescent="0.25">
      <c r="A1176" s="39"/>
    </row>
    <row r="1177" spans="1:1" x14ac:dyDescent="0.25">
      <c r="A1177" s="39"/>
    </row>
    <row r="1178" spans="1:1" x14ac:dyDescent="0.25">
      <c r="A1178" s="39"/>
    </row>
    <row r="1179" spans="1:1" x14ac:dyDescent="0.25">
      <c r="A1179" s="39"/>
    </row>
    <row r="1180" spans="1:1" x14ac:dyDescent="0.25">
      <c r="A1180" s="39"/>
    </row>
    <row r="1181" spans="1:1" x14ac:dyDescent="0.25">
      <c r="A1181" s="39"/>
    </row>
    <row r="1182" spans="1:1" x14ac:dyDescent="0.25">
      <c r="A1182" s="39"/>
    </row>
    <row r="1183" spans="1:1" x14ac:dyDescent="0.25">
      <c r="A1183" s="39"/>
    </row>
    <row r="1184" spans="1:1" x14ac:dyDescent="0.25">
      <c r="A1184" s="39"/>
    </row>
    <row r="1185" spans="1:1" x14ac:dyDescent="0.25">
      <c r="A1185" s="39"/>
    </row>
    <row r="1186" spans="1:1" x14ac:dyDescent="0.25">
      <c r="A1186" s="39"/>
    </row>
    <row r="1187" spans="1:1" x14ac:dyDescent="0.25">
      <c r="A1187" s="39"/>
    </row>
    <row r="1188" spans="1:1" x14ac:dyDescent="0.25">
      <c r="A1188" s="39"/>
    </row>
    <row r="1189" spans="1:1" x14ac:dyDescent="0.25">
      <c r="A1189" s="39"/>
    </row>
    <row r="1190" spans="1:1" x14ac:dyDescent="0.25">
      <c r="A1190" s="39"/>
    </row>
    <row r="1191" spans="1:1" x14ac:dyDescent="0.25">
      <c r="A1191" s="39"/>
    </row>
    <row r="1192" spans="1:1" x14ac:dyDescent="0.25">
      <c r="A1192" s="39"/>
    </row>
    <row r="1193" spans="1:1" x14ac:dyDescent="0.25">
      <c r="A1193" s="39"/>
    </row>
    <row r="1194" spans="1:1" x14ac:dyDescent="0.25">
      <c r="A1194" s="39"/>
    </row>
    <row r="1195" spans="1:1" x14ac:dyDescent="0.25">
      <c r="A1195" s="39"/>
    </row>
    <row r="1196" spans="1:1" x14ac:dyDescent="0.25">
      <c r="A1196" s="39"/>
    </row>
    <row r="1197" spans="1:1" x14ac:dyDescent="0.25">
      <c r="A1197" s="39"/>
    </row>
    <row r="1198" spans="1:1" x14ac:dyDescent="0.25">
      <c r="A1198" s="39"/>
    </row>
    <row r="1199" spans="1:1" x14ac:dyDescent="0.25">
      <c r="A1199" s="39"/>
    </row>
    <row r="1200" spans="1:1" x14ac:dyDescent="0.25">
      <c r="A1200" s="39"/>
    </row>
    <row r="1201" spans="1:1" x14ac:dyDescent="0.25">
      <c r="A1201" s="39"/>
    </row>
    <row r="1202" spans="1:1" x14ac:dyDescent="0.25">
      <c r="A1202" s="39"/>
    </row>
    <row r="1203" spans="1:1" x14ac:dyDescent="0.25">
      <c r="A1203" s="39"/>
    </row>
    <row r="1204" spans="1:1" x14ac:dyDescent="0.25">
      <c r="A1204" s="39"/>
    </row>
    <row r="1205" spans="1:1" x14ac:dyDescent="0.25">
      <c r="A1205" s="39"/>
    </row>
    <row r="1206" spans="1:1" x14ac:dyDescent="0.25">
      <c r="A1206" s="39"/>
    </row>
    <row r="1207" spans="1:1" x14ac:dyDescent="0.25">
      <c r="A1207" s="39"/>
    </row>
    <row r="1208" spans="1:1" x14ac:dyDescent="0.25">
      <c r="A1208" s="39"/>
    </row>
    <row r="1209" spans="1:1" x14ac:dyDescent="0.25">
      <c r="A1209" s="39"/>
    </row>
    <row r="1210" spans="1:1" x14ac:dyDescent="0.25">
      <c r="A1210" s="39"/>
    </row>
    <row r="1211" spans="1:1" x14ac:dyDescent="0.25">
      <c r="A1211" s="39"/>
    </row>
    <row r="1212" spans="1:1" x14ac:dyDescent="0.25">
      <c r="A1212" s="39"/>
    </row>
    <row r="1213" spans="1:1" x14ac:dyDescent="0.25">
      <c r="A1213" s="39"/>
    </row>
    <row r="1214" spans="1:1" x14ac:dyDescent="0.25">
      <c r="A1214" s="39"/>
    </row>
    <row r="1215" spans="1:1" x14ac:dyDescent="0.25">
      <c r="A1215" s="39"/>
    </row>
    <row r="1216" spans="1:1" x14ac:dyDescent="0.25">
      <c r="A1216" s="39"/>
    </row>
    <row r="1217" spans="1:1" x14ac:dyDescent="0.25">
      <c r="A1217" s="39"/>
    </row>
    <row r="1218" spans="1:1" x14ac:dyDescent="0.25">
      <c r="A1218" s="39"/>
    </row>
    <row r="1219" spans="1:1" x14ac:dyDescent="0.25">
      <c r="A1219" s="39"/>
    </row>
    <row r="1220" spans="1:1" x14ac:dyDescent="0.25">
      <c r="A1220" s="39"/>
    </row>
    <row r="1221" spans="1:1" x14ac:dyDescent="0.25">
      <c r="A1221" s="39"/>
    </row>
    <row r="1222" spans="1:1" x14ac:dyDescent="0.25">
      <c r="A1222" s="39"/>
    </row>
    <row r="1223" spans="1:1" x14ac:dyDescent="0.25">
      <c r="A1223" s="39"/>
    </row>
    <row r="1224" spans="1:1" x14ac:dyDescent="0.25">
      <c r="A1224" s="39"/>
    </row>
    <row r="1225" spans="1:1" x14ac:dyDescent="0.25">
      <c r="A1225" s="39"/>
    </row>
    <row r="1226" spans="1:1" x14ac:dyDescent="0.25">
      <c r="A1226" s="39"/>
    </row>
    <row r="1227" spans="1:1" x14ac:dyDescent="0.25">
      <c r="A1227" s="39"/>
    </row>
    <row r="1228" spans="1:1" x14ac:dyDescent="0.25">
      <c r="A1228" s="39"/>
    </row>
    <row r="1229" spans="1:1" x14ac:dyDescent="0.25">
      <c r="A1229" s="39"/>
    </row>
    <row r="1230" spans="1:1" x14ac:dyDescent="0.25">
      <c r="A1230" s="39"/>
    </row>
    <row r="1231" spans="1:1" x14ac:dyDescent="0.25">
      <c r="A1231" s="39"/>
    </row>
    <row r="1232" spans="1:1" x14ac:dyDescent="0.25">
      <c r="A1232" s="39"/>
    </row>
    <row r="1233" spans="1:1" x14ac:dyDescent="0.25">
      <c r="A1233" s="39"/>
    </row>
    <row r="1234" spans="1:1" x14ac:dyDescent="0.25">
      <c r="A1234" s="39"/>
    </row>
    <row r="1235" spans="1:1" x14ac:dyDescent="0.25">
      <c r="A1235" s="39"/>
    </row>
    <row r="1236" spans="1:1" x14ac:dyDescent="0.25">
      <c r="A1236" s="39"/>
    </row>
    <row r="1237" spans="1:1" x14ac:dyDescent="0.25">
      <c r="A1237" s="39"/>
    </row>
    <row r="1238" spans="1:1" x14ac:dyDescent="0.25">
      <c r="A1238" s="39"/>
    </row>
    <row r="1239" spans="1:1" x14ac:dyDescent="0.25">
      <c r="A1239" s="39"/>
    </row>
    <row r="1240" spans="1:1" x14ac:dyDescent="0.25">
      <c r="A1240" s="39"/>
    </row>
    <row r="1241" spans="1:1" x14ac:dyDescent="0.25">
      <c r="A1241" s="39"/>
    </row>
    <row r="1242" spans="1:1" x14ac:dyDescent="0.25">
      <c r="A1242" s="39"/>
    </row>
    <row r="1243" spans="1:1" x14ac:dyDescent="0.25">
      <c r="A1243" s="39"/>
    </row>
    <row r="1244" spans="1:1" x14ac:dyDescent="0.25">
      <c r="A1244" s="39"/>
    </row>
    <row r="1245" spans="1:1" x14ac:dyDescent="0.25">
      <c r="A1245" s="39"/>
    </row>
    <row r="1246" spans="1:1" x14ac:dyDescent="0.25">
      <c r="A1246" s="39"/>
    </row>
    <row r="1247" spans="1:1" x14ac:dyDescent="0.25">
      <c r="A1247" s="39"/>
    </row>
    <row r="1248" spans="1:1" x14ac:dyDescent="0.25">
      <c r="A1248" s="39"/>
    </row>
    <row r="1249" spans="1:1" x14ac:dyDescent="0.25">
      <c r="A1249" s="39"/>
    </row>
    <row r="1250" spans="1:1" x14ac:dyDescent="0.25">
      <c r="A1250" s="39"/>
    </row>
    <row r="1251" spans="1:1" x14ac:dyDescent="0.25">
      <c r="A1251" s="39"/>
    </row>
    <row r="1252" spans="1:1" x14ac:dyDescent="0.25">
      <c r="A1252" s="39"/>
    </row>
    <row r="1253" spans="1:1" x14ac:dyDescent="0.25">
      <c r="A1253" s="39"/>
    </row>
    <row r="1254" spans="1:1" x14ac:dyDescent="0.25">
      <c r="A1254" s="39"/>
    </row>
    <row r="1255" spans="1:1" x14ac:dyDescent="0.25">
      <c r="A1255" s="39"/>
    </row>
    <row r="1256" spans="1:1" x14ac:dyDescent="0.25">
      <c r="A1256" s="39"/>
    </row>
    <row r="1257" spans="1:1" x14ac:dyDescent="0.25">
      <c r="A1257" s="39"/>
    </row>
    <row r="1258" spans="1:1" x14ac:dyDescent="0.25">
      <c r="A1258" s="39"/>
    </row>
    <row r="1259" spans="1:1" x14ac:dyDescent="0.25">
      <c r="A1259" s="39"/>
    </row>
    <row r="1260" spans="1:1" x14ac:dyDescent="0.25">
      <c r="A1260" s="39"/>
    </row>
    <row r="1261" spans="1:1" x14ac:dyDescent="0.25">
      <c r="A1261" s="39"/>
    </row>
    <row r="1262" spans="1:1" x14ac:dyDescent="0.25">
      <c r="A1262" s="39"/>
    </row>
    <row r="1263" spans="1:1" x14ac:dyDescent="0.25">
      <c r="A1263" s="39"/>
    </row>
    <row r="1264" spans="1:1" x14ac:dyDescent="0.25">
      <c r="A1264" s="39"/>
    </row>
    <row r="1265" spans="1:1" x14ac:dyDescent="0.25">
      <c r="A1265" s="39"/>
    </row>
    <row r="1266" spans="1:1" x14ac:dyDescent="0.25">
      <c r="A1266" s="39"/>
    </row>
    <row r="1267" spans="1:1" x14ac:dyDescent="0.25">
      <c r="A1267" s="39"/>
    </row>
    <row r="1268" spans="1:1" x14ac:dyDescent="0.25">
      <c r="A1268" s="39"/>
    </row>
    <row r="1269" spans="1:1" x14ac:dyDescent="0.25">
      <c r="A1269" s="39"/>
    </row>
    <row r="1270" spans="1:1" x14ac:dyDescent="0.25">
      <c r="A1270" s="39"/>
    </row>
    <row r="1271" spans="1:1" x14ac:dyDescent="0.25">
      <c r="A1271" s="39"/>
    </row>
    <row r="1272" spans="1:1" x14ac:dyDescent="0.25">
      <c r="A1272" s="39"/>
    </row>
    <row r="1273" spans="1:1" x14ac:dyDescent="0.25">
      <c r="A1273" s="39"/>
    </row>
    <row r="1274" spans="1:1" x14ac:dyDescent="0.25">
      <c r="A1274" s="39"/>
    </row>
    <row r="1275" spans="1:1" x14ac:dyDescent="0.25">
      <c r="A1275" s="39"/>
    </row>
    <row r="1276" spans="1:1" x14ac:dyDescent="0.25">
      <c r="A1276" s="39"/>
    </row>
    <row r="1277" spans="1:1" x14ac:dyDescent="0.25">
      <c r="A1277" s="39"/>
    </row>
    <row r="1278" spans="1:1" x14ac:dyDescent="0.25">
      <c r="A1278" s="39"/>
    </row>
    <row r="1279" spans="1:1" x14ac:dyDescent="0.25">
      <c r="A1279" s="39"/>
    </row>
    <row r="1280" spans="1:1" x14ac:dyDescent="0.25">
      <c r="A1280" s="39"/>
    </row>
    <row r="1281" spans="1:1" x14ac:dyDescent="0.25">
      <c r="A1281" s="39"/>
    </row>
    <row r="1282" spans="1:1" x14ac:dyDescent="0.25">
      <c r="A1282" s="39"/>
    </row>
    <row r="1283" spans="1:1" x14ac:dyDescent="0.25">
      <c r="A1283" s="39"/>
    </row>
    <row r="1284" spans="1:1" x14ac:dyDescent="0.25">
      <c r="A1284" s="39"/>
    </row>
    <row r="1285" spans="1:1" x14ac:dyDescent="0.25">
      <c r="A1285" s="39"/>
    </row>
    <row r="1286" spans="1:1" x14ac:dyDescent="0.25">
      <c r="A1286" s="39"/>
    </row>
    <row r="1287" spans="1:1" x14ac:dyDescent="0.25">
      <c r="A1287" s="39"/>
    </row>
    <row r="1288" spans="1:1" x14ac:dyDescent="0.25">
      <c r="A1288" s="39"/>
    </row>
    <row r="1289" spans="1:1" x14ac:dyDescent="0.25">
      <c r="A1289" s="39"/>
    </row>
    <row r="1290" spans="1:1" x14ac:dyDescent="0.25">
      <c r="A1290" s="39"/>
    </row>
    <row r="1291" spans="1:1" x14ac:dyDescent="0.25">
      <c r="A1291" s="39"/>
    </row>
    <row r="1292" spans="1:1" x14ac:dyDescent="0.25">
      <c r="A1292" s="39"/>
    </row>
    <row r="1293" spans="1:1" x14ac:dyDescent="0.25">
      <c r="A1293" s="39"/>
    </row>
    <row r="1294" spans="1:1" x14ac:dyDescent="0.25">
      <c r="A1294" s="39"/>
    </row>
    <row r="1295" spans="1:1" x14ac:dyDescent="0.25">
      <c r="A1295" s="39"/>
    </row>
    <row r="1296" spans="1:1" x14ac:dyDescent="0.25">
      <c r="A1296" s="39"/>
    </row>
    <row r="1297" spans="1:1" x14ac:dyDescent="0.25">
      <c r="A1297" s="39"/>
    </row>
    <row r="1298" spans="1:1" x14ac:dyDescent="0.25">
      <c r="A1298" s="39"/>
    </row>
    <row r="1299" spans="1:1" x14ac:dyDescent="0.25">
      <c r="A1299" s="39"/>
    </row>
    <row r="1300" spans="1:1" x14ac:dyDescent="0.25">
      <c r="A1300" s="39"/>
    </row>
    <row r="1301" spans="1:1" x14ac:dyDescent="0.25">
      <c r="A1301" s="39"/>
    </row>
    <row r="1302" spans="1:1" x14ac:dyDescent="0.25">
      <c r="A1302" s="39"/>
    </row>
    <row r="1303" spans="1:1" x14ac:dyDescent="0.25">
      <c r="A1303" s="39"/>
    </row>
    <row r="1304" spans="1:1" x14ac:dyDescent="0.25">
      <c r="A1304" s="39"/>
    </row>
    <row r="1305" spans="1:1" x14ac:dyDescent="0.25">
      <c r="A1305" s="39"/>
    </row>
    <row r="1306" spans="1:1" x14ac:dyDescent="0.25">
      <c r="A1306" s="39"/>
    </row>
    <row r="1307" spans="1:1" x14ac:dyDescent="0.25">
      <c r="A1307" s="39"/>
    </row>
    <row r="1308" spans="1:1" x14ac:dyDescent="0.25">
      <c r="A1308" s="39"/>
    </row>
    <row r="1309" spans="1:1" x14ac:dyDescent="0.25">
      <c r="A1309" s="39"/>
    </row>
    <row r="1310" spans="1:1" x14ac:dyDescent="0.25">
      <c r="A1310" s="39"/>
    </row>
    <row r="1311" spans="1:1" x14ac:dyDescent="0.25">
      <c r="A1311" s="39"/>
    </row>
    <row r="1312" spans="1:1" x14ac:dyDescent="0.25">
      <c r="A1312" s="39"/>
    </row>
    <row r="1313" spans="1:1" x14ac:dyDescent="0.25">
      <c r="A1313" s="39"/>
    </row>
    <row r="1314" spans="1:1" x14ac:dyDescent="0.25">
      <c r="A1314" s="39"/>
    </row>
    <row r="1315" spans="1:1" x14ac:dyDescent="0.25">
      <c r="A1315" s="39"/>
    </row>
    <row r="1316" spans="1:1" x14ac:dyDescent="0.25">
      <c r="A1316" s="39"/>
    </row>
    <row r="1317" spans="1:1" x14ac:dyDescent="0.25">
      <c r="A1317" s="39"/>
    </row>
    <row r="1318" spans="1:1" x14ac:dyDescent="0.25">
      <c r="A1318" s="39"/>
    </row>
    <row r="1319" spans="1:1" x14ac:dyDescent="0.25">
      <c r="A1319" s="39"/>
    </row>
    <row r="1320" spans="1:1" x14ac:dyDescent="0.25">
      <c r="A1320" s="39"/>
    </row>
    <row r="1321" spans="1:1" x14ac:dyDescent="0.25">
      <c r="A1321" s="39"/>
    </row>
    <row r="1322" spans="1:1" x14ac:dyDescent="0.25">
      <c r="A1322" s="39"/>
    </row>
    <row r="1323" spans="1:1" x14ac:dyDescent="0.25">
      <c r="A1323" s="39"/>
    </row>
    <row r="1324" spans="1:1" x14ac:dyDescent="0.25">
      <c r="A1324" s="39"/>
    </row>
    <row r="1325" spans="1:1" x14ac:dyDescent="0.25">
      <c r="A1325" s="39"/>
    </row>
    <row r="1326" spans="1:1" x14ac:dyDescent="0.25">
      <c r="A1326" s="39"/>
    </row>
    <row r="1327" spans="1:1" x14ac:dyDescent="0.25">
      <c r="A1327" s="39"/>
    </row>
    <row r="1328" spans="1:1" x14ac:dyDescent="0.25">
      <c r="A1328" s="39"/>
    </row>
    <row r="1329" spans="1:1" x14ac:dyDescent="0.25">
      <c r="A1329" s="39"/>
    </row>
    <row r="1330" spans="1:1" x14ac:dyDescent="0.25">
      <c r="A1330" s="39"/>
    </row>
    <row r="1331" spans="1:1" x14ac:dyDescent="0.25">
      <c r="A1331" s="39"/>
    </row>
    <row r="1332" spans="1:1" x14ac:dyDescent="0.25">
      <c r="A1332" s="39"/>
    </row>
    <row r="1333" spans="1:1" x14ac:dyDescent="0.25">
      <c r="A1333" s="39"/>
    </row>
    <row r="1334" spans="1:1" x14ac:dyDescent="0.25">
      <c r="A1334" s="39"/>
    </row>
    <row r="1335" spans="1:1" x14ac:dyDescent="0.25">
      <c r="A1335" s="39"/>
    </row>
    <row r="1336" spans="1:1" x14ac:dyDescent="0.25">
      <c r="A1336" s="39"/>
    </row>
    <row r="1337" spans="1:1" x14ac:dyDescent="0.25">
      <c r="A1337" s="39"/>
    </row>
    <row r="1338" spans="1:1" x14ac:dyDescent="0.25">
      <c r="A1338" s="39"/>
    </row>
    <row r="1339" spans="1:1" x14ac:dyDescent="0.25">
      <c r="A1339" s="39"/>
    </row>
    <row r="1340" spans="1:1" x14ac:dyDescent="0.25">
      <c r="A1340" s="39"/>
    </row>
    <row r="1341" spans="1:1" x14ac:dyDescent="0.25">
      <c r="A1341" s="39"/>
    </row>
    <row r="1342" spans="1:1" x14ac:dyDescent="0.25">
      <c r="A1342" s="39"/>
    </row>
    <row r="1343" spans="1:1" x14ac:dyDescent="0.25">
      <c r="A1343" s="39"/>
    </row>
    <row r="1344" spans="1:1" x14ac:dyDescent="0.25">
      <c r="A1344" s="39"/>
    </row>
    <row r="1345" spans="1:1" x14ac:dyDescent="0.25">
      <c r="A1345" s="39"/>
    </row>
    <row r="1346" spans="1:1" x14ac:dyDescent="0.25">
      <c r="A1346" s="39"/>
    </row>
    <row r="1347" spans="1:1" x14ac:dyDescent="0.25">
      <c r="A1347" s="39"/>
    </row>
    <row r="1348" spans="1:1" x14ac:dyDescent="0.25">
      <c r="A1348" s="39"/>
    </row>
    <row r="1349" spans="1:1" x14ac:dyDescent="0.25">
      <c r="A1349" s="39"/>
    </row>
    <row r="1350" spans="1:1" x14ac:dyDescent="0.25">
      <c r="A1350" s="39"/>
    </row>
    <row r="1351" spans="1:1" x14ac:dyDescent="0.25">
      <c r="A1351" s="39"/>
    </row>
    <row r="1352" spans="1:1" x14ac:dyDescent="0.25">
      <c r="A1352" s="39"/>
    </row>
    <row r="1353" spans="1:1" x14ac:dyDescent="0.25">
      <c r="A1353" s="39"/>
    </row>
    <row r="1354" spans="1:1" x14ac:dyDescent="0.25">
      <c r="A1354" s="39"/>
    </row>
    <row r="1355" spans="1:1" x14ac:dyDescent="0.25">
      <c r="A1355" s="39"/>
    </row>
    <row r="1356" spans="1:1" x14ac:dyDescent="0.25">
      <c r="A1356" s="39"/>
    </row>
    <row r="1357" spans="1:1" x14ac:dyDescent="0.25">
      <c r="A1357" s="39"/>
    </row>
    <row r="1358" spans="1:1" x14ac:dyDescent="0.25">
      <c r="A1358" s="39"/>
    </row>
    <row r="1359" spans="1:1" x14ac:dyDescent="0.25">
      <c r="A1359" s="39"/>
    </row>
    <row r="1360" spans="1:1" x14ac:dyDescent="0.25">
      <c r="A1360" s="39"/>
    </row>
    <row r="1361" spans="1:1" x14ac:dyDescent="0.25">
      <c r="A1361" s="39"/>
    </row>
    <row r="1362" spans="1:1" x14ac:dyDescent="0.25">
      <c r="A1362" s="39"/>
    </row>
    <row r="1363" spans="1:1" x14ac:dyDescent="0.25">
      <c r="A1363" s="39"/>
    </row>
    <row r="1364" spans="1:1" x14ac:dyDescent="0.25">
      <c r="A1364" s="39"/>
    </row>
    <row r="1365" spans="1:1" x14ac:dyDescent="0.25">
      <c r="A1365" s="39"/>
    </row>
    <row r="1366" spans="1:1" x14ac:dyDescent="0.25">
      <c r="A1366" s="39"/>
    </row>
    <row r="1367" spans="1:1" x14ac:dyDescent="0.25">
      <c r="A1367" s="39"/>
    </row>
    <row r="1368" spans="1:1" x14ac:dyDescent="0.25">
      <c r="A1368" s="39"/>
    </row>
    <row r="1369" spans="1:1" x14ac:dyDescent="0.25">
      <c r="A1369" s="39"/>
    </row>
    <row r="1370" spans="1:1" x14ac:dyDescent="0.25">
      <c r="A1370" s="39"/>
    </row>
    <row r="1371" spans="1:1" x14ac:dyDescent="0.25">
      <c r="A1371" s="39"/>
    </row>
    <row r="1372" spans="1:1" x14ac:dyDescent="0.25">
      <c r="A1372" s="39"/>
    </row>
    <row r="1373" spans="1:1" x14ac:dyDescent="0.25">
      <c r="A1373" s="39"/>
    </row>
    <row r="1374" spans="1:1" x14ac:dyDescent="0.25">
      <c r="A1374" s="39"/>
    </row>
    <row r="1375" spans="1:1" x14ac:dyDescent="0.25">
      <c r="A1375" s="39"/>
    </row>
    <row r="1376" spans="1:1" x14ac:dyDescent="0.25">
      <c r="A1376" s="39"/>
    </row>
    <row r="1377" spans="1:1" x14ac:dyDescent="0.25">
      <c r="A1377" s="39"/>
    </row>
    <row r="1378" spans="1:1" x14ac:dyDescent="0.25">
      <c r="A1378" s="39"/>
    </row>
    <row r="1379" spans="1:1" x14ac:dyDescent="0.25">
      <c r="A1379" s="39"/>
    </row>
    <row r="1380" spans="1:1" x14ac:dyDescent="0.25">
      <c r="A1380" s="39"/>
    </row>
    <row r="1381" spans="1:1" x14ac:dyDescent="0.25">
      <c r="A1381" s="39"/>
    </row>
    <row r="1382" spans="1:1" x14ac:dyDescent="0.25">
      <c r="A1382" s="39"/>
    </row>
    <row r="1383" spans="1:1" x14ac:dyDescent="0.25">
      <c r="A1383" s="39"/>
    </row>
    <row r="1384" spans="1:1" x14ac:dyDescent="0.25">
      <c r="A1384" s="39"/>
    </row>
    <row r="1385" spans="1:1" x14ac:dyDescent="0.25">
      <c r="A1385" s="39"/>
    </row>
    <row r="1386" spans="1:1" x14ac:dyDescent="0.25">
      <c r="A1386" s="39"/>
    </row>
    <row r="1387" spans="1:1" x14ac:dyDescent="0.25">
      <c r="A1387" s="39"/>
    </row>
    <row r="1388" spans="1:1" x14ac:dyDescent="0.25">
      <c r="A1388" s="39"/>
    </row>
    <row r="1389" spans="1:1" x14ac:dyDescent="0.25">
      <c r="A1389" s="39"/>
    </row>
    <row r="1390" spans="1:1" x14ac:dyDescent="0.25">
      <c r="A1390" s="39"/>
    </row>
    <row r="1391" spans="1:1" x14ac:dyDescent="0.25">
      <c r="A1391" s="39"/>
    </row>
    <row r="1392" spans="1:1" x14ac:dyDescent="0.25">
      <c r="A1392" s="39"/>
    </row>
    <row r="1393" spans="1:1" x14ac:dyDescent="0.25">
      <c r="A1393" s="39"/>
    </row>
    <row r="1394" spans="1:1" x14ac:dyDescent="0.25">
      <c r="A1394" s="39"/>
    </row>
    <row r="1395" spans="1:1" x14ac:dyDescent="0.25">
      <c r="A1395" s="39"/>
    </row>
    <row r="1396" spans="1:1" x14ac:dyDescent="0.25">
      <c r="A1396" s="39"/>
    </row>
    <row r="1397" spans="1:1" x14ac:dyDescent="0.25">
      <c r="A1397" s="39"/>
    </row>
    <row r="1398" spans="1:1" x14ac:dyDescent="0.25">
      <c r="A1398" s="39"/>
    </row>
    <row r="1399" spans="1:1" x14ac:dyDescent="0.25">
      <c r="A1399" s="39"/>
    </row>
    <row r="1400" spans="1:1" x14ac:dyDescent="0.25">
      <c r="A1400" s="39"/>
    </row>
    <row r="1401" spans="1:1" x14ac:dyDescent="0.25">
      <c r="A1401" s="39"/>
    </row>
    <row r="1402" spans="1:1" x14ac:dyDescent="0.25">
      <c r="A1402" s="39"/>
    </row>
    <row r="1403" spans="1:1" x14ac:dyDescent="0.25">
      <c r="A1403" s="39"/>
    </row>
    <row r="1404" spans="1:1" x14ac:dyDescent="0.25">
      <c r="A1404" s="39"/>
    </row>
    <row r="1405" spans="1:1" x14ac:dyDescent="0.25">
      <c r="A1405" s="39"/>
    </row>
    <row r="1406" spans="1:1" x14ac:dyDescent="0.25">
      <c r="A1406" s="39"/>
    </row>
    <row r="1407" spans="1:1" x14ac:dyDescent="0.25">
      <c r="A1407" s="39"/>
    </row>
    <row r="1408" spans="1:1" x14ac:dyDescent="0.25">
      <c r="A1408" s="39"/>
    </row>
    <row r="1409" spans="1:1" x14ac:dyDescent="0.25">
      <c r="A1409" s="39"/>
    </row>
    <row r="1410" spans="1:1" x14ac:dyDescent="0.25">
      <c r="A1410" s="39"/>
    </row>
    <row r="1411" spans="1:1" x14ac:dyDescent="0.25">
      <c r="A1411" s="39"/>
    </row>
    <row r="1412" spans="1:1" x14ac:dyDescent="0.25">
      <c r="A1412" s="39"/>
    </row>
    <row r="1413" spans="1:1" x14ac:dyDescent="0.25">
      <c r="A1413" s="39"/>
    </row>
    <row r="1414" spans="1:1" x14ac:dyDescent="0.25">
      <c r="A1414" s="39"/>
    </row>
    <row r="1415" spans="1:1" x14ac:dyDescent="0.25">
      <c r="A1415" s="39"/>
    </row>
    <row r="1416" spans="1:1" x14ac:dyDescent="0.25">
      <c r="A1416" s="39"/>
    </row>
    <row r="1417" spans="1:1" x14ac:dyDescent="0.25">
      <c r="A1417" s="39"/>
    </row>
    <row r="1418" spans="1:1" x14ac:dyDescent="0.25">
      <c r="A1418" s="39"/>
    </row>
    <row r="1419" spans="1:1" x14ac:dyDescent="0.25">
      <c r="A1419" s="39"/>
    </row>
    <row r="1420" spans="1:1" x14ac:dyDescent="0.25">
      <c r="A1420" s="39"/>
    </row>
    <row r="1421" spans="1:1" x14ac:dyDescent="0.25">
      <c r="A1421" s="39"/>
    </row>
    <row r="1422" spans="1:1" x14ac:dyDescent="0.25">
      <c r="A1422" s="39"/>
    </row>
    <row r="1423" spans="1:1" x14ac:dyDescent="0.25">
      <c r="A1423" s="39"/>
    </row>
    <row r="1424" spans="1:1" x14ac:dyDescent="0.25">
      <c r="A1424" s="39"/>
    </row>
    <row r="1425" spans="1:1" x14ac:dyDescent="0.25">
      <c r="A1425" s="39"/>
    </row>
    <row r="1426" spans="1:1" x14ac:dyDescent="0.25">
      <c r="A1426" s="39"/>
    </row>
    <row r="1427" spans="1:1" x14ac:dyDescent="0.25">
      <c r="A1427" s="39"/>
    </row>
    <row r="1428" spans="1:1" x14ac:dyDescent="0.25">
      <c r="A1428" s="39"/>
    </row>
    <row r="1429" spans="1:1" x14ac:dyDescent="0.25">
      <c r="A1429" s="39"/>
    </row>
    <row r="1430" spans="1:1" x14ac:dyDescent="0.25">
      <c r="A1430" s="39"/>
    </row>
    <row r="1431" spans="1:1" x14ac:dyDescent="0.25">
      <c r="A1431" s="39"/>
    </row>
    <row r="1432" spans="1:1" x14ac:dyDescent="0.25">
      <c r="A1432" s="39"/>
    </row>
    <row r="1433" spans="1:1" x14ac:dyDescent="0.25">
      <c r="A1433" s="39"/>
    </row>
    <row r="1434" spans="1:1" x14ac:dyDescent="0.25">
      <c r="A1434" s="39"/>
    </row>
    <row r="1435" spans="1:1" x14ac:dyDescent="0.25">
      <c r="A1435" s="39"/>
    </row>
    <row r="1436" spans="1:1" x14ac:dyDescent="0.25">
      <c r="A1436" s="39"/>
    </row>
    <row r="1437" spans="1:1" x14ac:dyDescent="0.25">
      <c r="A1437" s="39"/>
    </row>
    <row r="1438" spans="1:1" x14ac:dyDescent="0.25">
      <c r="A1438" s="39"/>
    </row>
    <row r="1439" spans="1:1" x14ac:dyDescent="0.25">
      <c r="A1439" s="39"/>
    </row>
    <row r="1440" spans="1:1" x14ac:dyDescent="0.25">
      <c r="A1440" s="39"/>
    </row>
    <row r="1441" spans="1:1" x14ac:dyDescent="0.25">
      <c r="A1441" s="39"/>
    </row>
    <row r="1442" spans="1:1" x14ac:dyDescent="0.25">
      <c r="A1442" s="39"/>
    </row>
    <row r="1443" spans="1:1" x14ac:dyDescent="0.25">
      <c r="A1443" s="39"/>
    </row>
    <row r="1444" spans="1:1" x14ac:dyDescent="0.25">
      <c r="A1444" s="39"/>
    </row>
    <row r="1445" spans="1:1" x14ac:dyDescent="0.25">
      <c r="A1445" s="39"/>
    </row>
    <row r="1446" spans="1:1" x14ac:dyDescent="0.25">
      <c r="A1446" s="39"/>
    </row>
    <row r="1447" spans="1:1" x14ac:dyDescent="0.25">
      <c r="A1447" s="39"/>
    </row>
    <row r="1448" spans="1:1" x14ac:dyDescent="0.25">
      <c r="A1448" s="39"/>
    </row>
    <row r="1449" spans="1:1" x14ac:dyDescent="0.25">
      <c r="A1449" s="39"/>
    </row>
    <row r="1450" spans="1:1" x14ac:dyDescent="0.25">
      <c r="A1450" s="39"/>
    </row>
    <row r="1451" spans="1:1" x14ac:dyDescent="0.25">
      <c r="A1451" s="39"/>
    </row>
    <row r="1452" spans="1:1" x14ac:dyDescent="0.25">
      <c r="A1452" s="39"/>
    </row>
    <row r="1453" spans="1:1" x14ac:dyDescent="0.25">
      <c r="A1453" s="39"/>
    </row>
    <row r="1454" spans="1:1" x14ac:dyDescent="0.25">
      <c r="A1454" s="39"/>
    </row>
    <row r="1455" spans="1:1" x14ac:dyDescent="0.25">
      <c r="A1455" s="39"/>
    </row>
    <row r="1456" spans="1:1" x14ac:dyDescent="0.25">
      <c r="A1456" s="39"/>
    </row>
    <row r="1457" spans="1:1" x14ac:dyDescent="0.25">
      <c r="A1457" s="39"/>
    </row>
    <row r="1458" spans="1:1" x14ac:dyDescent="0.25">
      <c r="A1458" s="39"/>
    </row>
    <row r="1459" spans="1:1" x14ac:dyDescent="0.25">
      <c r="A1459" s="39"/>
    </row>
    <row r="1460" spans="1:1" x14ac:dyDescent="0.25">
      <c r="A1460" s="39"/>
    </row>
    <row r="1461" spans="1:1" x14ac:dyDescent="0.25">
      <c r="A1461" s="39"/>
    </row>
    <row r="1462" spans="1:1" x14ac:dyDescent="0.25">
      <c r="A1462" s="39"/>
    </row>
    <row r="1463" spans="1:1" x14ac:dyDescent="0.25">
      <c r="A1463" s="39"/>
    </row>
    <row r="1464" spans="1:1" x14ac:dyDescent="0.25">
      <c r="A1464" s="39"/>
    </row>
    <row r="1465" spans="1:1" x14ac:dyDescent="0.25">
      <c r="A1465" s="39"/>
    </row>
    <row r="1466" spans="1:1" x14ac:dyDescent="0.25">
      <c r="A1466" s="39"/>
    </row>
    <row r="1467" spans="1:1" x14ac:dyDescent="0.25">
      <c r="A1467" s="39"/>
    </row>
    <row r="1468" spans="1:1" x14ac:dyDescent="0.25">
      <c r="A1468" s="39"/>
    </row>
    <row r="1469" spans="1:1" x14ac:dyDescent="0.25">
      <c r="A1469" s="39"/>
    </row>
    <row r="1470" spans="1:1" x14ac:dyDescent="0.25">
      <c r="A1470" s="39"/>
    </row>
    <row r="1471" spans="1:1" x14ac:dyDescent="0.25">
      <c r="A1471" s="39"/>
    </row>
    <row r="1472" spans="1:1" x14ac:dyDescent="0.25">
      <c r="A1472" s="39"/>
    </row>
    <row r="1473" spans="1:1" x14ac:dyDescent="0.25">
      <c r="A1473" s="39"/>
    </row>
    <row r="1474" spans="1:1" x14ac:dyDescent="0.25">
      <c r="A1474" s="39"/>
    </row>
    <row r="1475" spans="1:1" x14ac:dyDescent="0.25">
      <c r="A1475" s="39"/>
    </row>
    <row r="1476" spans="1:1" x14ac:dyDescent="0.25">
      <c r="A1476" s="39"/>
    </row>
    <row r="1477" spans="1:1" x14ac:dyDescent="0.25">
      <c r="A1477" s="39"/>
    </row>
    <row r="1478" spans="1:1" x14ac:dyDescent="0.25">
      <c r="A1478" s="39"/>
    </row>
    <row r="1479" spans="1:1" x14ac:dyDescent="0.25">
      <c r="A1479" s="39"/>
    </row>
    <row r="1480" spans="1:1" x14ac:dyDescent="0.25">
      <c r="A1480" s="39"/>
    </row>
    <row r="1481" spans="1:1" x14ac:dyDescent="0.25">
      <c r="A1481" s="39"/>
    </row>
    <row r="1482" spans="1:1" x14ac:dyDescent="0.25">
      <c r="A1482" s="39"/>
    </row>
    <row r="1483" spans="1:1" x14ac:dyDescent="0.25">
      <c r="A1483" s="39"/>
    </row>
    <row r="1484" spans="1:1" x14ac:dyDescent="0.25">
      <c r="A1484" s="39"/>
    </row>
    <row r="1485" spans="1:1" x14ac:dyDescent="0.25">
      <c r="A1485" s="39"/>
    </row>
    <row r="1486" spans="1:1" x14ac:dyDescent="0.25">
      <c r="A1486" s="39"/>
    </row>
    <row r="1487" spans="1:1" x14ac:dyDescent="0.25">
      <c r="A1487" s="39"/>
    </row>
    <row r="1488" spans="1:1" x14ac:dyDescent="0.25">
      <c r="A1488" s="39"/>
    </row>
    <row r="1489" spans="1:1" x14ac:dyDescent="0.25">
      <c r="A1489" s="39"/>
    </row>
    <row r="1490" spans="1:1" x14ac:dyDescent="0.25">
      <c r="A1490" s="39"/>
    </row>
    <row r="1491" spans="1:1" x14ac:dyDescent="0.25">
      <c r="A1491" s="39"/>
    </row>
    <row r="1492" spans="1:1" x14ac:dyDescent="0.25">
      <c r="A1492" s="39"/>
    </row>
    <row r="1493" spans="1:1" x14ac:dyDescent="0.25">
      <c r="A1493" s="39"/>
    </row>
    <row r="1494" spans="1:1" x14ac:dyDescent="0.25">
      <c r="A1494" s="39"/>
    </row>
    <row r="1495" spans="1:1" x14ac:dyDescent="0.25">
      <c r="A1495" s="39"/>
    </row>
    <row r="1496" spans="1:1" x14ac:dyDescent="0.25">
      <c r="A1496" s="39"/>
    </row>
    <row r="1497" spans="1:1" x14ac:dyDescent="0.25">
      <c r="A1497" s="39"/>
    </row>
    <row r="1498" spans="1:1" x14ac:dyDescent="0.25">
      <c r="A1498" s="39"/>
    </row>
    <row r="1499" spans="1:1" x14ac:dyDescent="0.25">
      <c r="A1499" s="39"/>
    </row>
    <row r="1500" spans="1:1" x14ac:dyDescent="0.25">
      <c r="A1500" s="39"/>
    </row>
    <row r="1501" spans="1:1" x14ac:dyDescent="0.25">
      <c r="A1501" s="39"/>
    </row>
    <row r="1502" spans="1:1" x14ac:dyDescent="0.25">
      <c r="A1502" s="39"/>
    </row>
    <row r="1503" spans="1:1" x14ac:dyDescent="0.25">
      <c r="A1503" s="39"/>
    </row>
    <row r="1504" spans="1:1" x14ac:dyDescent="0.25">
      <c r="A1504" s="39"/>
    </row>
    <row r="1505" spans="1:1" x14ac:dyDescent="0.25">
      <c r="A1505" s="39"/>
    </row>
    <row r="1506" spans="1:1" x14ac:dyDescent="0.25">
      <c r="A1506" s="39"/>
    </row>
    <row r="1507" spans="1:1" x14ac:dyDescent="0.25">
      <c r="A1507" s="39"/>
    </row>
    <row r="1508" spans="1:1" x14ac:dyDescent="0.25">
      <c r="A1508" s="39"/>
    </row>
    <row r="1509" spans="1:1" x14ac:dyDescent="0.25">
      <c r="A1509" s="39"/>
    </row>
    <row r="1510" spans="1:1" x14ac:dyDescent="0.25">
      <c r="A1510" s="39"/>
    </row>
    <row r="1511" spans="1:1" x14ac:dyDescent="0.25">
      <c r="A1511" s="39"/>
    </row>
    <row r="1512" spans="1:1" x14ac:dyDescent="0.25">
      <c r="A1512" s="39"/>
    </row>
    <row r="1513" spans="1:1" x14ac:dyDescent="0.25">
      <c r="A1513" s="39"/>
    </row>
    <row r="1514" spans="1:1" x14ac:dyDescent="0.25">
      <c r="A1514" s="39"/>
    </row>
    <row r="1515" spans="1:1" x14ac:dyDescent="0.25">
      <c r="A1515" s="39"/>
    </row>
    <row r="1516" spans="1:1" x14ac:dyDescent="0.25">
      <c r="A1516" s="39"/>
    </row>
    <row r="1517" spans="1:1" x14ac:dyDescent="0.25">
      <c r="A1517" s="39"/>
    </row>
    <row r="1518" spans="1:1" x14ac:dyDescent="0.25">
      <c r="A1518" s="39"/>
    </row>
    <row r="1519" spans="1:1" x14ac:dyDescent="0.25">
      <c r="A1519" s="39"/>
    </row>
    <row r="1520" spans="1:1" x14ac:dyDescent="0.25">
      <c r="A1520" s="39"/>
    </row>
    <row r="1521" spans="1:1" x14ac:dyDescent="0.25">
      <c r="A1521" s="39"/>
    </row>
    <row r="1522" spans="1:1" x14ac:dyDescent="0.25">
      <c r="A1522" s="39"/>
    </row>
    <row r="1523" spans="1:1" x14ac:dyDescent="0.25">
      <c r="A1523" s="39"/>
    </row>
    <row r="1524" spans="1:1" x14ac:dyDescent="0.25">
      <c r="A1524" s="39"/>
    </row>
    <row r="1525" spans="1:1" x14ac:dyDescent="0.25">
      <c r="A1525" s="39"/>
    </row>
    <row r="1526" spans="1:1" x14ac:dyDescent="0.25">
      <c r="A1526" s="39"/>
    </row>
    <row r="1527" spans="1:1" x14ac:dyDescent="0.25">
      <c r="A1527" s="39"/>
    </row>
    <row r="1528" spans="1:1" x14ac:dyDescent="0.25">
      <c r="A1528" s="39"/>
    </row>
    <row r="1529" spans="1:1" x14ac:dyDescent="0.25">
      <c r="A1529" s="39"/>
    </row>
    <row r="1530" spans="1:1" x14ac:dyDescent="0.25">
      <c r="A1530" s="39"/>
    </row>
    <row r="1531" spans="1:1" x14ac:dyDescent="0.25">
      <c r="A1531" s="39"/>
    </row>
    <row r="1532" spans="1:1" x14ac:dyDescent="0.25">
      <c r="A1532" s="39"/>
    </row>
    <row r="1533" spans="1:1" x14ac:dyDescent="0.25">
      <c r="A1533" s="39"/>
    </row>
    <row r="1534" spans="1:1" x14ac:dyDescent="0.25">
      <c r="A1534" s="39"/>
    </row>
    <row r="1535" spans="1:1" x14ac:dyDescent="0.25">
      <c r="A1535" s="39"/>
    </row>
    <row r="1536" spans="1:1" x14ac:dyDescent="0.25">
      <c r="A1536" s="39"/>
    </row>
    <row r="1537" spans="1:1" x14ac:dyDescent="0.25">
      <c r="A1537" s="39"/>
    </row>
    <row r="1538" spans="1:1" x14ac:dyDescent="0.25">
      <c r="A1538" s="39"/>
    </row>
    <row r="1539" spans="1:1" x14ac:dyDescent="0.25">
      <c r="A1539" s="39"/>
    </row>
    <row r="1540" spans="1:1" x14ac:dyDescent="0.25">
      <c r="A1540" s="39"/>
    </row>
    <row r="1541" spans="1:1" x14ac:dyDescent="0.25">
      <c r="A1541" s="39"/>
    </row>
    <row r="1542" spans="1:1" x14ac:dyDescent="0.25">
      <c r="A1542" s="39"/>
    </row>
    <row r="1543" spans="1:1" x14ac:dyDescent="0.25">
      <c r="A1543" s="39"/>
    </row>
    <row r="1544" spans="1:1" x14ac:dyDescent="0.25">
      <c r="A1544" s="39"/>
    </row>
    <row r="1545" spans="1:1" x14ac:dyDescent="0.25">
      <c r="A1545" s="39"/>
    </row>
    <row r="1546" spans="1:1" x14ac:dyDescent="0.25">
      <c r="A1546" s="39"/>
    </row>
    <row r="1547" spans="1:1" x14ac:dyDescent="0.25">
      <c r="A1547" s="39"/>
    </row>
    <row r="1548" spans="1:1" x14ac:dyDescent="0.25">
      <c r="A1548" s="39"/>
    </row>
    <row r="1549" spans="1:1" x14ac:dyDescent="0.25">
      <c r="A1549" s="39"/>
    </row>
    <row r="1550" spans="1:1" x14ac:dyDescent="0.25">
      <c r="A1550" s="39"/>
    </row>
    <row r="1551" spans="1:1" x14ac:dyDescent="0.25">
      <c r="A1551" s="39"/>
    </row>
    <row r="1552" spans="1:1" x14ac:dyDescent="0.25">
      <c r="A1552" s="39"/>
    </row>
    <row r="1553" spans="1:1" x14ac:dyDescent="0.25">
      <c r="A1553" s="39"/>
    </row>
    <row r="1554" spans="1:1" x14ac:dyDescent="0.25">
      <c r="A1554" s="39"/>
    </row>
    <row r="1555" spans="1:1" x14ac:dyDescent="0.25">
      <c r="A1555" s="39"/>
    </row>
    <row r="1556" spans="1:1" x14ac:dyDescent="0.25">
      <c r="A1556" s="39"/>
    </row>
    <row r="1557" spans="1:1" x14ac:dyDescent="0.25">
      <c r="A1557" s="39"/>
    </row>
    <row r="1558" spans="1:1" x14ac:dyDescent="0.25">
      <c r="A1558" s="39"/>
    </row>
    <row r="1559" spans="1:1" x14ac:dyDescent="0.25">
      <c r="A1559" s="39"/>
    </row>
    <row r="1560" spans="1:1" x14ac:dyDescent="0.25">
      <c r="A1560" s="39"/>
    </row>
    <row r="1561" spans="1:1" x14ac:dyDescent="0.25">
      <c r="A1561" s="39"/>
    </row>
    <row r="1562" spans="1:1" x14ac:dyDescent="0.25">
      <c r="A1562" s="39"/>
    </row>
    <row r="1563" spans="1:1" x14ac:dyDescent="0.25">
      <c r="A1563" s="39"/>
    </row>
    <row r="1564" spans="1:1" x14ac:dyDescent="0.25">
      <c r="A1564" s="39"/>
    </row>
    <row r="1565" spans="1:1" x14ac:dyDescent="0.25">
      <c r="A1565" s="39"/>
    </row>
    <row r="1566" spans="1:1" x14ac:dyDescent="0.25">
      <c r="A1566" s="39"/>
    </row>
    <row r="1567" spans="1:1" x14ac:dyDescent="0.25">
      <c r="A1567" s="39"/>
    </row>
    <row r="1568" spans="1:1" x14ac:dyDescent="0.25">
      <c r="A1568" s="39"/>
    </row>
    <row r="1569" spans="1:1" x14ac:dyDescent="0.25">
      <c r="A1569" s="39"/>
    </row>
    <row r="1570" spans="1:1" x14ac:dyDescent="0.25">
      <c r="A1570" s="39"/>
    </row>
    <row r="1571" spans="1:1" x14ac:dyDescent="0.25">
      <c r="A1571" s="39"/>
    </row>
    <row r="1572" spans="1:1" x14ac:dyDescent="0.25">
      <c r="A1572" s="39"/>
    </row>
    <row r="1573" spans="1:1" x14ac:dyDescent="0.25">
      <c r="A1573" s="39"/>
    </row>
    <row r="1574" spans="1:1" x14ac:dyDescent="0.25">
      <c r="A1574" s="39"/>
    </row>
    <row r="1575" spans="1:1" x14ac:dyDescent="0.25">
      <c r="A1575" s="39"/>
    </row>
    <row r="1576" spans="1:1" x14ac:dyDescent="0.25">
      <c r="A1576" s="39"/>
    </row>
    <row r="1577" spans="1:1" x14ac:dyDescent="0.25">
      <c r="A1577" s="39"/>
    </row>
    <row r="1578" spans="1:1" x14ac:dyDescent="0.25">
      <c r="A1578" s="39"/>
    </row>
    <row r="1579" spans="1:1" x14ac:dyDescent="0.25">
      <c r="A1579" s="39"/>
    </row>
    <row r="1580" spans="1:1" x14ac:dyDescent="0.25">
      <c r="A1580" s="39"/>
    </row>
    <row r="1581" spans="1:1" x14ac:dyDescent="0.25">
      <c r="A1581" s="39"/>
    </row>
    <row r="1582" spans="1:1" x14ac:dyDescent="0.25">
      <c r="A1582" s="39"/>
    </row>
    <row r="1583" spans="1:1" x14ac:dyDescent="0.25">
      <c r="A1583" s="39"/>
    </row>
    <row r="1584" spans="1:1" x14ac:dyDescent="0.25">
      <c r="A1584" s="39"/>
    </row>
    <row r="1585" spans="1:1" x14ac:dyDescent="0.25">
      <c r="A1585" s="39"/>
    </row>
    <row r="1586" spans="1:1" x14ac:dyDescent="0.25">
      <c r="A1586" s="39"/>
    </row>
    <row r="1587" spans="1:1" x14ac:dyDescent="0.25">
      <c r="A1587" s="39"/>
    </row>
    <row r="1588" spans="1:1" x14ac:dyDescent="0.25">
      <c r="A1588" s="39"/>
    </row>
    <row r="1589" spans="1:1" x14ac:dyDescent="0.25">
      <c r="A1589" s="39"/>
    </row>
    <row r="1590" spans="1:1" x14ac:dyDescent="0.25">
      <c r="A1590" s="39"/>
    </row>
    <row r="1591" spans="1:1" x14ac:dyDescent="0.25">
      <c r="A1591" s="39"/>
    </row>
    <row r="1592" spans="1:1" x14ac:dyDescent="0.25">
      <c r="A1592" s="39"/>
    </row>
    <row r="1593" spans="1:1" x14ac:dyDescent="0.25">
      <c r="A1593" s="39"/>
    </row>
    <row r="1594" spans="1:1" x14ac:dyDescent="0.25">
      <c r="A1594" s="39"/>
    </row>
    <row r="1595" spans="1:1" x14ac:dyDescent="0.25">
      <c r="A1595" s="39"/>
    </row>
    <row r="1596" spans="1:1" x14ac:dyDescent="0.25">
      <c r="A1596" s="39"/>
    </row>
    <row r="1597" spans="1:1" x14ac:dyDescent="0.25">
      <c r="A1597" s="39"/>
    </row>
    <row r="1598" spans="1:1" x14ac:dyDescent="0.25">
      <c r="A1598" s="39"/>
    </row>
    <row r="1599" spans="1:1" x14ac:dyDescent="0.25">
      <c r="A1599" s="39"/>
    </row>
    <row r="1600" spans="1:1" x14ac:dyDescent="0.25">
      <c r="A1600" s="39"/>
    </row>
    <row r="1601" spans="1:1" x14ac:dyDescent="0.25">
      <c r="A1601" s="39"/>
    </row>
    <row r="1602" spans="1:1" x14ac:dyDescent="0.25">
      <c r="A1602" s="39"/>
    </row>
    <row r="1603" spans="1:1" x14ac:dyDescent="0.25">
      <c r="A1603" s="39"/>
    </row>
    <row r="1604" spans="1:1" x14ac:dyDescent="0.25">
      <c r="A1604" s="39"/>
    </row>
    <row r="1605" spans="1:1" x14ac:dyDescent="0.25">
      <c r="A1605" s="39"/>
    </row>
    <row r="1606" spans="1:1" x14ac:dyDescent="0.25">
      <c r="A1606" s="39"/>
    </row>
    <row r="1607" spans="1:1" x14ac:dyDescent="0.25">
      <c r="A1607" s="39"/>
    </row>
    <row r="1608" spans="1:1" x14ac:dyDescent="0.25">
      <c r="A1608" s="39"/>
    </row>
    <row r="1609" spans="1:1" x14ac:dyDescent="0.25">
      <c r="A1609" s="39"/>
    </row>
    <row r="1610" spans="1:1" x14ac:dyDescent="0.25">
      <c r="A1610" s="39"/>
    </row>
    <row r="1611" spans="1:1" x14ac:dyDescent="0.25">
      <c r="A1611" s="39"/>
    </row>
    <row r="1612" spans="1:1" x14ac:dyDescent="0.25">
      <c r="A1612" s="39"/>
    </row>
    <row r="1613" spans="1:1" x14ac:dyDescent="0.25">
      <c r="A1613" s="39"/>
    </row>
    <row r="1614" spans="1:1" x14ac:dyDescent="0.25">
      <c r="A1614" s="39"/>
    </row>
    <row r="1615" spans="1:1" x14ac:dyDescent="0.25">
      <c r="A1615" s="39"/>
    </row>
    <row r="1616" spans="1:1" x14ac:dyDescent="0.25">
      <c r="A1616" s="39"/>
    </row>
    <row r="1617" spans="1:1" x14ac:dyDescent="0.25">
      <c r="A1617" s="39"/>
    </row>
    <row r="1618" spans="1:1" x14ac:dyDescent="0.25">
      <c r="A1618" s="39"/>
    </row>
    <row r="1619" spans="1:1" x14ac:dyDescent="0.25">
      <c r="A1619" s="39"/>
    </row>
    <row r="1620" spans="1:1" x14ac:dyDescent="0.25">
      <c r="A1620" s="39"/>
    </row>
    <row r="1621" spans="1:1" x14ac:dyDescent="0.25">
      <c r="A1621" s="39"/>
    </row>
    <row r="1622" spans="1:1" x14ac:dyDescent="0.25">
      <c r="A1622" s="39"/>
    </row>
    <row r="1623" spans="1:1" x14ac:dyDescent="0.25">
      <c r="A1623" s="39"/>
    </row>
    <row r="1624" spans="1:1" x14ac:dyDescent="0.25">
      <c r="A1624" s="39"/>
    </row>
    <row r="1625" spans="1:1" x14ac:dyDescent="0.25">
      <c r="A1625" s="39"/>
    </row>
    <row r="1626" spans="1:1" x14ac:dyDescent="0.25">
      <c r="A1626" s="39"/>
    </row>
    <row r="1627" spans="1:1" x14ac:dyDescent="0.25">
      <c r="A1627" s="39"/>
    </row>
    <row r="1628" spans="1:1" x14ac:dyDescent="0.25">
      <c r="A1628" s="39"/>
    </row>
    <row r="1629" spans="1:1" x14ac:dyDescent="0.25">
      <c r="A1629" s="39"/>
    </row>
    <row r="1630" spans="1:1" x14ac:dyDescent="0.25">
      <c r="A1630" s="39"/>
    </row>
    <row r="1631" spans="1:1" x14ac:dyDescent="0.25">
      <c r="A1631" s="39"/>
    </row>
    <row r="1632" spans="1:1" x14ac:dyDescent="0.25">
      <c r="A1632" s="39"/>
    </row>
    <row r="1633" spans="1:1" x14ac:dyDescent="0.25">
      <c r="A1633" s="39"/>
    </row>
    <row r="1634" spans="1:1" x14ac:dyDescent="0.25">
      <c r="A1634" s="39"/>
    </row>
    <row r="1635" spans="1:1" x14ac:dyDescent="0.25">
      <c r="A1635" s="39"/>
    </row>
    <row r="1636" spans="1:1" x14ac:dyDescent="0.25">
      <c r="A1636" s="39"/>
    </row>
    <row r="1637" spans="1:1" x14ac:dyDescent="0.25">
      <c r="A1637" s="39"/>
    </row>
    <row r="1638" spans="1:1" x14ac:dyDescent="0.25">
      <c r="A1638" s="39"/>
    </row>
    <row r="1639" spans="1:1" x14ac:dyDescent="0.25">
      <c r="A1639" s="39"/>
    </row>
    <row r="1640" spans="1:1" x14ac:dyDescent="0.25">
      <c r="A1640" s="39"/>
    </row>
    <row r="1641" spans="1:1" x14ac:dyDescent="0.25">
      <c r="A1641" s="39"/>
    </row>
    <row r="1642" spans="1:1" x14ac:dyDescent="0.25">
      <c r="A1642" s="39"/>
    </row>
    <row r="1643" spans="1:1" x14ac:dyDescent="0.25">
      <c r="A1643" s="39"/>
    </row>
    <row r="1644" spans="1:1" x14ac:dyDescent="0.25">
      <c r="A1644" s="39"/>
    </row>
    <row r="1645" spans="1:1" x14ac:dyDescent="0.25">
      <c r="A1645" s="39"/>
    </row>
    <row r="1646" spans="1:1" x14ac:dyDescent="0.25">
      <c r="A1646" s="39"/>
    </row>
    <row r="1647" spans="1:1" x14ac:dyDescent="0.25">
      <c r="A1647" s="39"/>
    </row>
    <row r="1648" spans="1:1" x14ac:dyDescent="0.25">
      <c r="A1648" s="39"/>
    </row>
    <row r="1649" spans="1:1" x14ac:dyDescent="0.25">
      <c r="A1649" s="39"/>
    </row>
    <row r="1650" spans="1:1" x14ac:dyDescent="0.25">
      <c r="A1650" s="39"/>
    </row>
    <row r="1651" spans="1:1" x14ac:dyDescent="0.25">
      <c r="A1651" s="39"/>
    </row>
    <row r="1652" spans="1:1" x14ac:dyDescent="0.25">
      <c r="A1652" s="39"/>
    </row>
    <row r="1653" spans="1:1" x14ac:dyDescent="0.25">
      <c r="A1653" s="39"/>
    </row>
    <row r="1654" spans="1:1" x14ac:dyDescent="0.25">
      <c r="A1654" s="39"/>
    </row>
    <row r="1655" spans="1:1" x14ac:dyDescent="0.25">
      <c r="A1655" s="39"/>
    </row>
    <row r="1656" spans="1:1" x14ac:dyDescent="0.25">
      <c r="A1656" s="39"/>
    </row>
    <row r="1657" spans="1:1" x14ac:dyDescent="0.25">
      <c r="A1657" s="39"/>
    </row>
    <row r="1658" spans="1:1" x14ac:dyDescent="0.25">
      <c r="A1658" s="39"/>
    </row>
    <row r="1659" spans="1:1" x14ac:dyDescent="0.25">
      <c r="A1659" s="39"/>
    </row>
    <row r="1660" spans="1:1" x14ac:dyDescent="0.25">
      <c r="A1660" s="39"/>
    </row>
    <row r="1661" spans="1:1" x14ac:dyDescent="0.25">
      <c r="A1661" s="39"/>
    </row>
    <row r="1662" spans="1:1" x14ac:dyDescent="0.25">
      <c r="A1662" s="39"/>
    </row>
    <row r="1663" spans="1:1" x14ac:dyDescent="0.25">
      <c r="A1663" s="39"/>
    </row>
    <row r="1664" spans="1:1" x14ac:dyDescent="0.25">
      <c r="A1664" s="39"/>
    </row>
    <row r="1665" spans="1:1" x14ac:dyDescent="0.25">
      <c r="A1665" s="39"/>
    </row>
    <row r="1666" spans="1:1" x14ac:dyDescent="0.25">
      <c r="A1666" s="39"/>
    </row>
    <row r="1667" spans="1:1" x14ac:dyDescent="0.25">
      <c r="A1667" s="39"/>
    </row>
    <row r="1668" spans="1:1" x14ac:dyDescent="0.25">
      <c r="A1668" s="39"/>
    </row>
    <row r="1669" spans="1:1" x14ac:dyDescent="0.25">
      <c r="A1669" s="39"/>
    </row>
    <row r="1670" spans="1:1" x14ac:dyDescent="0.25">
      <c r="A1670" s="39"/>
    </row>
    <row r="1671" spans="1:1" x14ac:dyDescent="0.25">
      <c r="A1671" s="39"/>
    </row>
    <row r="1672" spans="1:1" x14ac:dyDescent="0.25">
      <c r="A1672" s="39"/>
    </row>
    <row r="1673" spans="1:1" x14ac:dyDescent="0.25">
      <c r="A1673" s="39"/>
    </row>
    <row r="1674" spans="1:1" x14ac:dyDescent="0.25">
      <c r="A1674" s="39"/>
    </row>
    <row r="1675" spans="1:1" x14ac:dyDescent="0.25">
      <c r="A1675" s="39"/>
    </row>
    <row r="1676" spans="1:1" x14ac:dyDescent="0.25">
      <c r="A1676" s="39"/>
    </row>
    <row r="1677" spans="1:1" x14ac:dyDescent="0.25">
      <c r="A1677" s="39"/>
    </row>
    <row r="1678" spans="1:1" x14ac:dyDescent="0.25">
      <c r="A1678" s="39"/>
    </row>
    <row r="1679" spans="1:1" x14ac:dyDescent="0.25">
      <c r="A1679" s="39"/>
    </row>
    <row r="1680" spans="1:1" x14ac:dyDescent="0.25">
      <c r="A1680" s="39"/>
    </row>
    <row r="1681" spans="1:1" x14ac:dyDescent="0.25">
      <c r="A1681" s="39"/>
    </row>
    <row r="1682" spans="1:1" x14ac:dyDescent="0.25">
      <c r="A1682" s="39"/>
    </row>
    <row r="1683" spans="1:1" x14ac:dyDescent="0.25">
      <c r="A1683" s="39"/>
    </row>
    <row r="1684" spans="1:1" x14ac:dyDescent="0.25">
      <c r="A1684" s="39"/>
    </row>
    <row r="1685" spans="1:1" x14ac:dyDescent="0.25">
      <c r="A1685" s="39"/>
    </row>
    <row r="1686" spans="1:1" x14ac:dyDescent="0.25">
      <c r="A1686" s="39"/>
    </row>
    <row r="1687" spans="1:1" x14ac:dyDescent="0.25">
      <c r="A1687" s="39"/>
    </row>
    <row r="1688" spans="1:1" x14ac:dyDescent="0.25">
      <c r="A1688" s="39"/>
    </row>
    <row r="1689" spans="1:1" x14ac:dyDescent="0.25">
      <c r="A1689" s="39"/>
    </row>
    <row r="1690" spans="1:1" x14ac:dyDescent="0.25">
      <c r="A1690" s="39"/>
    </row>
    <row r="1691" spans="1:1" x14ac:dyDescent="0.25">
      <c r="A1691" s="39"/>
    </row>
    <row r="1692" spans="1:1" x14ac:dyDescent="0.25">
      <c r="A1692" s="39"/>
    </row>
    <row r="1693" spans="1:1" x14ac:dyDescent="0.25">
      <c r="A1693" s="39"/>
    </row>
    <row r="1694" spans="1:1" x14ac:dyDescent="0.25">
      <c r="A1694" s="39"/>
    </row>
    <row r="1695" spans="1:1" x14ac:dyDescent="0.25">
      <c r="A1695" s="39"/>
    </row>
    <row r="1696" spans="1:1" x14ac:dyDescent="0.25">
      <c r="A1696" s="39"/>
    </row>
    <row r="1697" spans="1:1" x14ac:dyDescent="0.25">
      <c r="A1697" s="39"/>
    </row>
    <row r="1698" spans="1:1" x14ac:dyDescent="0.25">
      <c r="A1698" s="39"/>
    </row>
    <row r="1699" spans="1:1" x14ac:dyDescent="0.25">
      <c r="A1699" s="39"/>
    </row>
    <row r="1700" spans="1:1" x14ac:dyDescent="0.25">
      <c r="A1700" s="39"/>
    </row>
    <row r="1701" spans="1:1" x14ac:dyDescent="0.25">
      <c r="A1701" s="39"/>
    </row>
    <row r="1702" spans="1:1" x14ac:dyDescent="0.25">
      <c r="A1702" s="39"/>
    </row>
    <row r="1703" spans="1:1" x14ac:dyDescent="0.25">
      <c r="A1703" s="39"/>
    </row>
    <row r="1704" spans="1:1" x14ac:dyDescent="0.25">
      <c r="A1704" s="39"/>
    </row>
    <row r="1705" spans="1:1" x14ac:dyDescent="0.25">
      <c r="A1705" s="39"/>
    </row>
    <row r="1706" spans="1:1" x14ac:dyDescent="0.25">
      <c r="A1706" s="39"/>
    </row>
    <row r="1707" spans="1:1" x14ac:dyDescent="0.25">
      <c r="A1707" s="39"/>
    </row>
    <row r="1708" spans="1:1" x14ac:dyDescent="0.25">
      <c r="A1708" s="39"/>
    </row>
    <row r="1709" spans="1:1" x14ac:dyDescent="0.25">
      <c r="A1709" s="39"/>
    </row>
    <row r="1710" spans="1:1" x14ac:dyDescent="0.25">
      <c r="A1710" s="39"/>
    </row>
    <row r="1711" spans="1:1" x14ac:dyDescent="0.25">
      <c r="A1711" s="39"/>
    </row>
    <row r="1712" spans="1:1" x14ac:dyDescent="0.25">
      <c r="A1712" s="39"/>
    </row>
    <row r="1713" spans="1:1" x14ac:dyDescent="0.25">
      <c r="A1713" s="39"/>
    </row>
    <row r="1714" spans="1:1" x14ac:dyDescent="0.25">
      <c r="A1714" s="39"/>
    </row>
    <row r="1715" spans="1:1" x14ac:dyDescent="0.25">
      <c r="A1715" s="39"/>
    </row>
    <row r="1716" spans="1:1" x14ac:dyDescent="0.25">
      <c r="A1716" s="39"/>
    </row>
    <row r="1717" spans="1:1" x14ac:dyDescent="0.25">
      <c r="A1717" s="39"/>
    </row>
    <row r="1718" spans="1:1" x14ac:dyDescent="0.25">
      <c r="A1718" s="39"/>
    </row>
    <row r="1719" spans="1:1" x14ac:dyDescent="0.25">
      <c r="A1719" s="39"/>
    </row>
    <row r="1720" spans="1:1" x14ac:dyDescent="0.25">
      <c r="A1720" s="39"/>
    </row>
    <row r="1721" spans="1:1" x14ac:dyDescent="0.25">
      <c r="A1721" s="39"/>
    </row>
    <row r="1722" spans="1:1" x14ac:dyDescent="0.25">
      <c r="A1722" s="39"/>
    </row>
    <row r="1723" spans="1:1" x14ac:dyDescent="0.25">
      <c r="A1723" s="39"/>
    </row>
    <row r="1724" spans="1:1" x14ac:dyDescent="0.25">
      <c r="A1724" s="39"/>
    </row>
    <row r="1725" spans="1:1" x14ac:dyDescent="0.25">
      <c r="A1725" s="39"/>
    </row>
    <row r="1726" spans="1:1" x14ac:dyDescent="0.25">
      <c r="A1726" s="39"/>
    </row>
    <row r="1727" spans="1:1" x14ac:dyDescent="0.25">
      <c r="A1727" s="39"/>
    </row>
    <row r="1728" spans="1:1" x14ac:dyDescent="0.25">
      <c r="A1728" s="39"/>
    </row>
    <row r="1729" spans="1:1" x14ac:dyDescent="0.25">
      <c r="A1729" s="39"/>
    </row>
    <row r="1730" spans="1:1" x14ac:dyDescent="0.25">
      <c r="A1730" s="39"/>
    </row>
    <row r="1731" spans="1:1" x14ac:dyDescent="0.25">
      <c r="A1731" s="39"/>
    </row>
    <row r="1732" spans="1:1" x14ac:dyDescent="0.25">
      <c r="A1732" s="39"/>
    </row>
    <row r="1733" spans="1:1" x14ac:dyDescent="0.25">
      <c r="A1733" s="39"/>
    </row>
    <row r="1734" spans="1:1" x14ac:dyDescent="0.25">
      <c r="A1734" s="39"/>
    </row>
    <row r="1735" spans="1:1" x14ac:dyDescent="0.25">
      <c r="A1735" s="39"/>
    </row>
    <row r="1736" spans="1:1" x14ac:dyDescent="0.25">
      <c r="A1736" s="39"/>
    </row>
    <row r="1737" spans="1:1" x14ac:dyDescent="0.25">
      <c r="A1737" s="39"/>
    </row>
    <row r="1738" spans="1:1" x14ac:dyDescent="0.25">
      <c r="A1738" s="39"/>
    </row>
    <row r="1739" spans="1:1" x14ac:dyDescent="0.25">
      <c r="A1739" s="39"/>
    </row>
    <row r="1740" spans="1:1" x14ac:dyDescent="0.25">
      <c r="A1740" s="39"/>
    </row>
    <row r="1741" spans="1:1" x14ac:dyDescent="0.25">
      <c r="A1741" s="39"/>
    </row>
    <row r="1742" spans="1:1" x14ac:dyDescent="0.25">
      <c r="A1742" s="39"/>
    </row>
    <row r="1743" spans="1:1" x14ac:dyDescent="0.25">
      <c r="A1743" s="39"/>
    </row>
    <row r="1744" spans="1:1" x14ac:dyDescent="0.25">
      <c r="A1744" s="39"/>
    </row>
    <row r="1745" spans="1:1" x14ac:dyDescent="0.25">
      <c r="A1745" s="39"/>
    </row>
    <row r="1746" spans="1:1" x14ac:dyDescent="0.25">
      <c r="A1746" s="39"/>
    </row>
    <row r="1747" spans="1:1" x14ac:dyDescent="0.25">
      <c r="A1747" s="39"/>
    </row>
    <row r="1748" spans="1:1" x14ac:dyDescent="0.25">
      <c r="A1748" s="39"/>
    </row>
    <row r="1749" spans="1:1" x14ac:dyDescent="0.25">
      <c r="A1749" s="39"/>
    </row>
    <row r="1750" spans="1:1" x14ac:dyDescent="0.25">
      <c r="A1750" s="39"/>
    </row>
    <row r="1751" spans="1:1" x14ac:dyDescent="0.25">
      <c r="A1751" s="39"/>
    </row>
    <row r="1752" spans="1:1" x14ac:dyDescent="0.25">
      <c r="A1752" s="39"/>
    </row>
    <row r="1753" spans="1:1" x14ac:dyDescent="0.25">
      <c r="A1753" s="39"/>
    </row>
    <row r="1754" spans="1:1" x14ac:dyDescent="0.25">
      <c r="A1754" s="39"/>
    </row>
    <row r="1755" spans="1:1" x14ac:dyDescent="0.25">
      <c r="A1755" s="39"/>
    </row>
    <row r="1756" spans="1:1" x14ac:dyDescent="0.25">
      <c r="A1756" s="39"/>
    </row>
    <row r="1757" spans="1:1" x14ac:dyDescent="0.25">
      <c r="A1757" s="39"/>
    </row>
    <row r="1758" spans="1:1" x14ac:dyDescent="0.25">
      <c r="A1758" s="39"/>
    </row>
    <row r="1759" spans="1:1" x14ac:dyDescent="0.25">
      <c r="A1759" s="39"/>
    </row>
    <row r="1760" spans="1:1" x14ac:dyDescent="0.25">
      <c r="A1760" s="39"/>
    </row>
    <row r="1761" spans="1:1" x14ac:dyDescent="0.25">
      <c r="A1761" s="39"/>
    </row>
    <row r="1762" spans="1:1" x14ac:dyDescent="0.25">
      <c r="A1762" s="39"/>
    </row>
    <row r="1763" spans="1:1" x14ac:dyDescent="0.25">
      <c r="A1763" s="39"/>
    </row>
    <row r="1764" spans="1:1" x14ac:dyDescent="0.25">
      <c r="A1764" s="39"/>
    </row>
    <row r="1765" spans="1:1" x14ac:dyDescent="0.25">
      <c r="A1765" s="39"/>
    </row>
    <row r="1766" spans="1:1" x14ac:dyDescent="0.25">
      <c r="A1766" s="39"/>
    </row>
    <row r="1767" spans="1:1" x14ac:dyDescent="0.25">
      <c r="A1767" s="39"/>
    </row>
    <row r="1768" spans="1:1" x14ac:dyDescent="0.25">
      <c r="A1768" s="39"/>
    </row>
    <row r="1769" spans="1:1" x14ac:dyDescent="0.25">
      <c r="A1769" s="39"/>
    </row>
    <row r="1770" spans="1:1" x14ac:dyDescent="0.25">
      <c r="A1770" s="39"/>
    </row>
    <row r="1771" spans="1:1" x14ac:dyDescent="0.25">
      <c r="A1771" s="39"/>
    </row>
    <row r="1772" spans="1:1" x14ac:dyDescent="0.25">
      <c r="A1772" s="39"/>
    </row>
    <row r="1773" spans="1:1" x14ac:dyDescent="0.25">
      <c r="A1773" s="39"/>
    </row>
    <row r="1774" spans="1:1" x14ac:dyDescent="0.25">
      <c r="A1774" s="39"/>
    </row>
    <row r="1775" spans="1:1" x14ac:dyDescent="0.25">
      <c r="A1775" s="39"/>
    </row>
    <row r="1776" spans="1:1" x14ac:dyDescent="0.25">
      <c r="A1776" s="39"/>
    </row>
    <row r="1777" spans="1:1" x14ac:dyDescent="0.25">
      <c r="A1777" s="39"/>
    </row>
    <row r="1778" spans="1:1" x14ac:dyDescent="0.25">
      <c r="A1778" s="39"/>
    </row>
    <row r="1779" spans="1:1" x14ac:dyDescent="0.25">
      <c r="A1779" s="39"/>
    </row>
    <row r="1780" spans="1:1" x14ac:dyDescent="0.25">
      <c r="A1780" s="39"/>
    </row>
    <row r="1781" spans="1:1" x14ac:dyDescent="0.25">
      <c r="A1781" s="39"/>
    </row>
    <row r="1782" spans="1:1" x14ac:dyDescent="0.25">
      <c r="A1782" s="39"/>
    </row>
    <row r="1783" spans="1:1" x14ac:dyDescent="0.25">
      <c r="A1783" s="39"/>
    </row>
    <row r="1784" spans="1:1" x14ac:dyDescent="0.25">
      <c r="A1784" s="39"/>
    </row>
    <row r="1785" spans="1:1" x14ac:dyDescent="0.25">
      <c r="A1785" s="39"/>
    </row>
    <row r="1786" spans="1:1" x14ac:dyDescent="0.25">
      <c r="A1786" s="39"/>
    </row>
    <row r="1787" spans="1:1" x14ac:dyDescent="0.25">
      <c r="A1787" s="39"/>
    </row>
    <row r="1788" spans="1:1" x14ac:dyDescent="0.25">
      <c r="A1788" s="39"/>
    </row>
    <row r="1789" spans="1:1" x14ac:dyDescent="0.25">
      <c r="A1789" s="39"/>
    </row>
    <row r="1790" spans="1:1" x14ac:dyDescent="0.25">
      <c r="A1790" s="39"/>
    </row>
    <row r="1791" spans="1:1" x14ac:dyDescent="0.25">
      <c r="A1791" s="39"/>
    </row>
    <row r="1792" spans="1:1" x14ac:dyDescent="0.25">
      <c r="A1792" s="39"/>
    </row>
    <row r="1793" spans="1:1" x14ac:dyDescent="0.25">
      <c r="A1793" s="39"/>
    </row>
    <row r="1794" spans="1:1" x14ac:dyDescent="0.25">
      <c r="A1794" s="39"/>
    </row>
    <row r="1795" spans="1:1" x14ac:dyDescent="0.25">
      <c r="A1795" s="39"/>
    </row>
    <row r="1796" spans="1:1" x14ac:dyDescent="0.25">
      <c r="A1796" s="39"/>
    </row>
    <row r="1797" spans="1:1" x14ac:dyDescent="0.25">
      <c r="A1797" s="39"/>
    </row>
    <row r="1798" spans="1:1" x14ac:dyDescent="0.25">
      <c r="A1798" s="39"/>
    </row>
    <row r="1799" spans="1:1" x14ac:dyDescent="0.25">
      <c r="A1799" s="39"/>
    </row>
    <row r="1800" spans="1:1" x14ac:dyDescent="0.25">
      <c r="A1800" s="39"/>
    </row>
    <row r="1801" spans="1:1" x14ac:dyDescent="0.25">
      <c r="A1801" s="39"/>
    </row>
    <row r="1802" spans="1:1" x14ac:dyDescent="0.25">
      <c r="A1802" s="39"/>
    </row>
    <row r="1803" spans="1:1" x14ac:dyDescent="0.25">
      <c r="A1803" s="39"/>
    </row>
    <row r="1804" spans="1:1" x14ac:dyDescent="0.25">
      <c r="A1804" s="39"/>
    </row>
    <row r="1805" spans="1:1" x14ac:dyDescent="0.25">
      <c r="A1805" s="39"/>
    </row>
    <row r="1806" spans="1:1" x14ac:dyDescent="0.25">
      <c r="A1806" s="39"/>
    </row>
    <row r="1807" spans="1:1" x14ac:dyDescent="0.25">
      <c r="A1807" s="39"/>
    </row>
    <row r="1808" spans="1:1" x14ac:dyDescent="0.25">
      <c r="A1808" s="39"/>
    </row>
    <row r="1809" spans="1:1" x14ac:dyDescent="0.25">
      <c r="A1809" s="39"/>
    </row>
    <row r="1810" spans="1:1" x14ac:dyDescent="0.25">
      <c r="A1810" s="39"/>
    </row>
    <row r="1811" spans="1:1" x14ac:dyDescent="0.25">
      <c r="A1811" s="39"/>
    </row>
    <row r="1812" spans="1:1" x14ac:dyDescent="0.25">
      <c r="A1812" s="39"/>
    </row>
    <row r="1813" spans="1:1" x14ac:dyDescent="0.25">
      <c r="A1813" s="39"/>
    </row>
    <row r="1814" spans="1:1" x14ac:dyDescent="0.25">
      <c r="A1814" s="39"/>
    </row>
    <row r="1815" spans="1:1" x14ac:dyDescent="0.25">
      <c r="A1815" s="39"/>
    </row>
    <row r="1816" spans="1:1" x14ac:dyDescent="0.25">
      <c r="A1816" s="39"/>
    </row>
    <row r="1817" spans="1:1" x14ac:dyDescent="0.25">
      <c r="A1817" s="39"/>
    </row>
    <row r="1818" spans="1:1" x14ac:dyDescent="0.25">
      <c r="A1818" s="39"/>
    </row>
    <row r="1819" spans="1:1" x14ac:dyDescent="0.25">
      <c r="A1819" s="39"/>
    </row>
    <row r="1820" spans="1:1" x14ac:dyDescent="0.25">
      <c r="A1820" s="39"/>
    </row>
    <row r="1821" spans="1:1" x14ac:dyDescent="0.25">
      <c r="A1821" s="39"/>
    </row>
    <row r="1822" spans="1:1" x14ac:dyDescent="0.25">
      <c r="A1822" s="39"/>
    </row>
    <row r="1823" spans="1:1" x14ac:dyDescent="0.25">
      <c r="A1823" s="39"/>
    </row>
    <row r="1824" spans="1:1" x14ac:dyDescent="0.25">
      <c r="A1824" s="39"/>
    </row>
    <row r="1825" spans="1:1" x14ac:dyDescent="0.25">
      <c r="A1825" s="39"/>
    </row>
    <row r="1826" spans="1:1" x14ac:dyDescent="0.25">
      <c r="A1826" s="39"/>
    </row>
    <row r="1827" spans="1:1" x14ac:dyDescent="0.25">
      <c r="A1827" s="39"/>
    </row>
    <row r="1828" spans="1:1" x14ac:dyDescent="0.25">
      <c r="A1828" s="39"/>
    </row>
    <row r="1829" spans="1:1" x14ac:dyDescent="0.25">
      <c r="A1829" s="39"/>
    </row>
    <row r="1830" spans="1:1" x14ac:dyDescent="0.25">
      <c r="A1830" s="39"/>
    </row>
    <row r="1831" spans="1:1" x14ac:dyDescent="0.25">
      <c r="A1831" s="39"/>
    </row>
    <row r="1832" spans="1:1" x14ac:dyDescent="0.25">
      <c r="A1832" s="39"/>
    </row>
    <row r="1833" spans="1:1" x14ac:dyDescent="0.25">
      <c r="A1833" s="39"/>
    </row>
    <row r="1834" spans="1:1" x14ac:dyDescent="0.25">
      <c r="A1834" s="39"/>
    </row>
    <row r="1835" spans="1:1" x14ac:dyDescent="0.25">
      <c r="A1835" s="39"/>
    </row>
    <row r="1836" spans="1:1" x14ac:dyDescent="0.25">
      <c r="A1836" s="39"/>
    </row>
    <row r="1837" spans="1:1" x14ac:dyDescent="0.25">
      <c r="A1837" s="39"/>
    </row>
    <row r="1838" spans="1:1" x14ac:dyDescent="0.25">
      <c r="A1838" s="39"/>
    </row>
    <row r="1839" spans="1:1" x14ac:dyDescent="0.25">
      <c r="A1839" s="39"/>
    </row>
    <row r="1840" spans="1:1" x14ac:dyDescent="0.25">
      <c r="A1840" s="39"/>
    </row>
    <row r="1841" spans="1:1" x14ac:dyDescent="0.25">
      <c r="A1841" s="39"/>
    </row>
    <row r="1842" spans="1:1" x14ac:dyDescent="0.25">
      <c r="A1842" s="39"/>
    </row>
    <row r="1843" spans="1:1" x14ac:dyDescent="0.25">
      <c r="A1843" s="39"/>
    </row>
    <row r="1844" spans="1:1" x14ac:dyDescent="0.25">
      <c r="A1844" s="39"/>
    </row>
    <row r="1845" spans="1:1" x14ac:dyDescent="0.25">
      <c r="A1845" s="39"/>
    </row>
    <row r="1846" spans="1:1" x14ac:dyDescent="0.25">
      <c r="A1846" s="39"/>
    </row>
    <row r="1847" spans="1:1" x14ac:dyDescent="0.25">
      <c r="A1847" s="39"/>
    </row>
    <row r="1848" spans="1:1" x14ac:dyDescent="0.25">
      <c r="A1848" s="39"/>
    </row>
    <row r="1849" spans="1:1" x14ac:dyDescent="0.25">
      <c r="A1849" s="39"/>
    </row>
    <row r="1850" spans="1:1" x14ac:dyDescent="0.25">
      <c r="A1850" s="39"/>
    </row>
    <row r="1851" spans="1:1" x14ac:dyDescent="0.25">
      <c r="A1851" s="39"/>
    </row>
    <row r="1852" spans="1:1" x14ac:dyDescent="0.25">
      <c r="A1852" s="39"/>
    </row>
    <row r="1853" spans="1:1" x14ac:dyDescent="0.25">
      <c r="A1853" s="39"/>
    </row>
    <row r="1854" spans="1:1" x14ac:dyDescent="0.25">
      <c r="A1854" s="39"/>
    </row>
    <row r="1855" spans="1:1" x14ac:dyDescent="0.25">
      <c r="A1855" s="39"/>
    </row>
    <row r="1856" spans="1:1" x14ac:dyDescent="0.25">
      <c r="A1856" s="39"/>
    </row>
    <row r="1857" spans="1:1" x14ac:dyDescent="0.25">
      <c r="A1857" s="39"/>
    </row>
    <row r="1858" spans="1:1" x14ac:dyDescent="0.25">
      <c r="A1858" s="39"/>
    </row>
    <row r="1859" spans="1:1" x14ac:dyDescent="0.25">
      <c r="A1859" s="39"/>
    </row>
    <row r="1860" spans="1:1" x14ac:dyDescent="0.25">
      <c r="A1860" s="39"/>
    </row>
    <row r="1861" spans="1:1" x14ac:dyDescent="0.25">
      <c r="A1861" s="39"/>
    </row>
    <row r="1862" spans="1:1" x14ac:dyDescent="0.25">
      <c r="A1862" s="39"/>
    </row>
    <row r="1863" spans="1:1" x14ac:dyDescent="0.25">
      <c r="A1863" s="39"/>
    </row>
    <row r="1864" spans="1:1" x14ac:dyDescent="0.25">
      <c r="A1864" s="39"/>
    </row>
    <row r="1865" spans="1:1" x14ac:dyDescent="0.25">
      <c r="A1865" s="39"/>
    </row>
    <row r="1866" spans="1:1" x14ac:dyDescent="0.25">
      <c r="A1866" s="39"/>
    </row>
    <row r="1867" spans="1:1" x14ac:dyDescent="0.25">
      <c r="A1867" s="39"/>
    </row>
    <row r="1868" spans="1:1" x14ac:dyDescent="0.25">
      <c r="A1868" s="39"/>
    </row>
    <row r="1869" spans="1:1" x14ac:dyDescent="0.25">
      <c r="A1869" s="39"/>
    </row>
    <row r="1870" spans="1:1" x14ac:dyDescent="0.25">
      <c r="A1870" s="39"/>
    </row>
    <row r="1871" spans="1:1" x14ac:dyDescent="0.25">
      <c r="A1871" s="39"/>
    </row>
    <row r="1872" spans="1:1" x14ac:dyDescent="0.25">
      <c r="A1872" s="39"/>
    </row>
    <row r="1873" spans="1:1" x14ac:dyDescent="0.25">
      <c r="A1873" s="39"/>
    </row>
    <row r="1874" spans="1:1" x14ac:dyDescent="0.25">
      <c r="A1874" s="39"/>
    </row>
    <row r="1875" spans="1:1" x14ac:dyDescent="0.25">
      <c r="A1875" s="39"/>
    </row>
    <row r="1876" spans="1:1" x14ac:dyDescent="0.25">
      <c r="A1876" s="39"/>
    </row>
    <row r="1877" spans="1:1" x14ac:dyDescent="0.25">
      <c r="A1877" s="39"/>
    </row>
    <row r="1878" spans="1:1" x14ac:dyDescent="0.25">
      <c r="A1878" s="39"/>
    </row>
    <row r="1879" spans="1:1" x14ac:dyDescent="0.25">
      <c r="A1879" s="39"/>
    </row>
    <row r="1880" spans="1:1" x14ac:dyDescent="0.25">
      <c r="A1880" s="39"/>
    </row>
    <row r="1881" spans="1:1" x14ac:dyDescent="0.25">
      <c r="A1881" s="39"/>
    </row>
    <row r="1882" spans="1:1" x14ac:dyDescent="0.25">
      <c r="A1882" s="39"/>
    </row>
    <row r="1883" spans="1:1" x14ac:dyDescent="0.25">
      <c r="A1883" s="39"/>
    </row>
    <row r="1884" spans="1:1" x14ac:dyDescent="0.25">
      <c r="A1884" s="39"/>
    </row>
    <row r="1885" spans="1:1" x14ac:dyDescent="0.25">
      <c r="A1885" s="39"/>
    </row>
    <row r="1886" spans="1:1" x14ac:dyDescent="0.25">
      <c r="A1886" s="39"/>
    </row>
    <row r="1887" spans="1:1" x14ac:dyDescent="0.25">
      <c r="A1887" s="39"/>
    </row>
    <row r="1888" spans="1:1" x14ac:dyDescent="0.25">
      <c r="A1888" s="39"/>
    </row>
    <row r="1889" spans="1:1" x14ac:dyDescent="0.25">
      <c r="A1889" s="39"/>
    </row>
    <row r="1890" spans="1:1" x14ac:dyDescent="0.25">
      <c r="A1890" s="39"/>
    </row>
    <row r="1891" spans="1:1" x14ac:dyDescent="0.25">
      <c r="A1891" s="39"/>
    </row>
    <row r="1892" spans="1:1" x14ac:dyDescent="0.25">
      <c r="A1892" s="39"/>
    </row>
    <row r="1893" spans="1:1" x14ac:dyDescent="0.25">
      <c r="A1893" s="39"/>
    </row>
    <row r="1894" spans="1:1" x14ac:dyDescent="0.25">
      <c r="A1894" s="39"/>
    </row>
    <row r="1895" spans="1:1" x14ac:dyDescent="0.25">
      <c r="A1895" s="39"/>
    </row>
    <row r="1896" spans="1:1" x14ac:dyDescent="0.25">
      <c r="A1896" s="39"/>
    </row>
    <row r="1897" spans="1:1" x14ac:dyDescent="0.25">
      <c r="A1897" s="39"/>
    </row>
    <row r="1898" spans="1:1" x14ac:dyDescent="0.25">
      <c r="A1898" s="39"/>
    </row>
    <row r="1899" spans="1:1" x14ac:dyDescent="0.25">
      <c r="A1899" s="39"/>
    </row>
    <row r="1900" spans="1:1" x14ac:dyDescent="0.25">
      <c r="A1900" s="39"/>
    </row>
    <row r="1901" spans="1:1" x14ac:dyDescent="0.25">
      <c r="A1901" s="39"/>
    </row>
    <row r="1902" spans="1:1" x14ac:dyDescent="0.25">
      <c r="A1902" s="39"/>
    </row>
    <row r="1903" spans="1:1" x14ac:dyDescent="0.25">
      <c r="A1903" s="39"/>
    </row>
    <row r="1904" spans="1:1" x14ac:dyDescent="0.25">
      <c r="A1904" s="39"/>
    </row>
    <row r="1905" spans="1:1" x14ac:dyDescent="0.25">
      <c r="A1905" s="39"/>
    </row>
    <row r="1906" spans="1:1" x14ac:dyDescent="0.25">
      <c r="A1906" s="39"/>
    </row>
    <row r="1907" spans="1:1" x14ac:dyDescent="0.25">
      <c r="A1907" s="39"/>
    </row>
    <row r="1908" spans="1:1" x14ac:dyDescent="0.25">
      <c r="A1908" s="39"/>
    </row>
    <row r="1909" spans="1:1" x14ac:dyDescent="0.25">
      <c r="A1909" s="39"/>
    </row>
    <row r="1910" spans="1:1" x14ac:dyDescent="0.25">
      <c r="A1910" s="39"/>
    </row>
    <row r="1911" spans="1:1" x14ac:dyDescent="0.25">
      <c r="A1911" s="39"/>
    </row>
    <row r="1912" spans="1:1" x14ac:dyDescent="0.25">
      <c r="A1912" s="39"/>
    </row>
    <row r="1913" spans="1:1" x14ac:dyDescent="0.25">
      <c r="A1913" s="39"/>
    </row>
    <row r="1914" spans="1:1" x14ac:dyDescent="0.25">
      <c r="A1914" s="39"/>
    </row>
    <row r="1915" spans="1:1" x14ac:dyDescent="0.25">
      <c r="A1915" s="39"/>
    </row>
    <row r="1916" spans="1:1" x14ac:dyDescent="0.25">
      <c r="A1916" s="39"/>
    </row>
    <row r="1917" spans="1:1" x14ac:dyDescent="0.25">
      <c r="A1917" s="39"/>
    </row>
    <row r="1918" spans="1:1" x14ac:dyDescent="0.25">
      <c r="A1918" s="39"/>
    </row>
    <row r="1919" spans="1:1" x14ac:dyDescent="0.25">
      <c r="A1919" s="39"/>
    </row>
    <row r="1920" spans="1:1" x14ac:dyDescent="0.25">
      <c r="A1920" s="39"/>
    </row>
    <row r="1921" spans="1:1" x14ac:dyDescent="0.25">
      <c r="A1921" s="39"/>
    </row>
    <row r="1922" spans="1:1" x14ac:dyDescent="0.25">
      <c r="A1922" s="39"/>
    </row>
    <row r="1923" spans="1:1" x14ac:dyDescent="0.25">
      <c r="A1923" s="39"/>
    </row>
    <row r="1924" spans="1:1" x14ac:dyDescent="0.25">
      <c r="A1924" s="39"/>
    </row>
    <row r="1925" spans="1:1" x14ac:dyDescent="0.25">
      <c r="A1925" s="39"/>
    </row>
    <row r="1926" spans="1:1" x14ac:dyDescent="0.25">
      <c r="A1926" s="39"/>
    </row>
    <row r="1927" spans="1:1" x14ac:dyDescent="0.25">
      <c r="A1927" s="39"/>
    </row>
    <row r="1928" spans="1:1" x14ac:dyDescent="0.25">
      <c r="A1928" s="39"/>
    </row>
    <row r="1929" spans="1:1" x14ac:dyDescent="0.25">
      <c r="A1929" s="39"/>
    </row>
    <row r="1930" spans="1:1" x14ac:dyDescent="0.25">
      <c r="A1930" s="39"/>
    </row>
    <row r="1931" spans="1:1" x14ac:dyDescent="0.25">
      <c r="A1931" s="39"/>
    </row>
    <row r="1932" spans="1:1" x14ac:dyDescent="0.25">
      <c r="A1932" s="39"/>
    </row>
    <row r="1933" spans="1:1" x14ac:dyDescent="0.25">
      <c r="A1933" s="39"/>
    </row>
    <row r="1934" spans="1:1" x14ac:dyDescent="0.25">
      <c r="A1934" s="39"/>
    </row>
    <row r="1935" spans="1:1" x14ac:dyDescent="0.25">
      <c r="A1935" s="39"/>
    </row>
    <row r="1936" spans="1:1" x14ac:dyDescent="0.25">
      <c r="A1936" s="39"/>
    </row>
    <row r="1937" spans="1:1" x14ac:dyDescent="0.25">
      <c r="A1937" s="39"/>
    </row>
    <row r="1938" spans="1:1" x14ac:dyDescent="0.25">
      <c r="A1938" s="39"/>
    </row>
    <row r="1939" spans="1:1" x14ac:dyDescent="0.25">
      <c r="A1939" s="39"/>
    </row>
    <row r="1940" spans="1:1" x14ac:dyDescent="0.25">
      <c r="A1940" s="39"/>
    </row>
    <row r="1941" spans="1:1" x14ac:dyDescent="0.25">
      <c r="A1941" s="39"/>
    </row>
    <row r="1942" spans="1:1" x14ac:dyDescent="0.25">
      <c r="A1942" s="39"/>
    </row>
    <row r="1943" spans="1:1" x14ac:dyDescent="0.25">
      <c r="A1943" s="39"/>
    </row>
    <row r="1944" spans="1:1" x14ac:dyDescent="0.25">
      <c r="A1944" s="39"/>
    </row>
    <row r="1945" spans="1:1" x14ac:dyDescent="0.25">
      <c r="A1945" s="39"/>
    </row>
    <row r="1946" spans="1:1" x14ac:dyDescent="0.25">
      <c r="A1946" s="39"/>
    </row>
    <row r="1947" spans="1:1" x14ac:dyDescent="0.25">
      <c r="A1947" s="39"/>
    </row>
    <row r="1948" spans="1:1" x14ac:dyDescent="0.25">
      <c r="A1948" s="39"/>
    </row>
    <row r="1949" spans="1:1" x14ac:dyDescent="0.25">
      <c r="A1949" s="39"/>
    </row>
    <row r="1950" spans="1:1" x14ac:dyDescent="0.25">
      <c r="A1950" s="39"/>
    </row>
    <row r="1951" spans="1:1" x14ac:dyDescent="0.25">
      <c r="A1951" s="39"/>
    </row>
    <row r="1952" spans="1:1" x14ac:dyDescent="0.25">
      <c r="A1952" s="39"/>
    </row>
    <row r="1953" spans="1:1" x14ac:dyDescent="0.25">
      <c r="A1953" s="39"/>
    </row>
    <row r="1954" spans="1:1" x14ac:dyDescent="0.25">
      <c r="A1954" s="39"/>
    </row>
    <row r="1955" spans="1:1" x14ac:dyDescent="0.25">
      <c r="A1955" s="39"/>
    </row>
    <row r="1956" spans="1:1" x14ac:dyDescent="0.25">
      <c r="A1956" s="39"/>
    </row>
    <row r="1957" spans="1:1" x14ac:dyDescent="0.25">
      <c r="A1957" s="39"/>
    </row>
    <row r="1958" spans="1:1" x14ac:dyDescent="0.25">
      <c r="A1958" s="39"/>
    </row>
    <row r="1959" spans="1:1" x14ac:dyDescent="0.25">
      <c r="A1959" s="39"/>
    </row>
    <row r="1960" spans="1:1" x14ac:dyDescent="0.25">
      <c r="A1960" s="39"/>
    </row>
    <row r="1961" spans="1:1" x14ac:dyDescent="0.25">
      <c r="A1961" s="39"/>
    </row>
    <row r="1962" spans="1:1" x14ac:dyDescent="0.25">
      <c r="A1962" s="39"/>
    </row>
    <row r="1963" spans="1:1" x14ac:dyDescent="0.25">
      <c r="A1963" s="39"/>
    </row>
    <row r="1964" spans="1:1" x14ac:dyDescent="0.25">
      <c r="A1964" s="39"/>
    </row>
    <row r="1965" spans="1:1" x14ac:dyDescent="0.25">
      <c r="A1965" s="39"/>
    </row>
    <row r="1966" spans="1:1" x14ac:dyDescent="0.25">
      <c r="A1966" s="39"/>
    </row>
    <row r="1967" spans="1:1" x14ac:dyDescent="0.25">
      <c r="A1967" s="39"/>
    </row>
    <row r="1968" spans="1:1" x14ac:dyDescent="0.25">
      <c r="A1968" s="39"/>
    </row>
    <row r="1969" spans="1:1" x14ac:dyDescent="0.25">
      <c r="A1969" s="39"/>
    </row>
    <row r="1970" spans="1:1" x14ac:dyDescent="0.25">
      <c r="A1970" s="39"/>
    </row>
    <row r="1971" spans="1:1" x14ac:dyDescent="0.25">
      <c r="A1971" s="39"/>
    </row>
    <row r="1972" spans="1:1" x14ac:dyDescent="0.25">
      <c r="A1972" s="39"/>
    </row>
    <row r="1973" spans="1:1" x14ac:dyDescent="0.25">
      <c r="A1973" s="39"/>
    </row>
    <row r="1974" spans="1:1" x14ac:dyDescent="0.25">
      <c r="A1974" s="39"/>
    </row>
    <row r="1975" spans="1:1" x14ac:dyDescent="0.25">
      <c r="A1975" s="39"/>
    </row>
    <row r="1976" spans="1:1" x14ac:dyDescent="0.25">
      <c r="A1976" s="39"/>
    </row>
    <row r="1977" spans="1:1" x14ac:dyDescent="0.25">
      <c r="A1977" s="39"/>
    </row>
    <row r="1978" spans="1:1" x14ac:dyDescent="0.25">
      <c r="A1978" s="39"/>
    </row>
    <row r="1979" spans="1:1" x14ac:dyDescent="0.25">
      <c r="A1979" s="39"/>
    </row>
    <row r="1980" spans="1:1" x14ac:dyDescent="0.25">
      <c r="A1980" s="39"/>
    </row>
    <row r="1981" spans="1:1" x14ac:dyDescent="0.25">
      <c r="A1981" s="39"/>
    </row>
    <row r="1982" spans="1:1" x14ac:dyDescent="0.25">
      <c r="A1982" s="39"/>
    </row>
    <row r="1983" spans="1:1" x14ac:dyDescent="0.25">
      <c r="A1983" s="39"/>
    </row>
    <row r="1984" spans="1:1" x14ac:dyDescent="0.25">
      <c r="A1984" s="39"/>
    </row>
    <row r="1985" spans="1:1" x14ac:dyDescent="0.25">
      <c r="A1985" s="39"/>
    </row>
    <row r="1986" spans="1:1" x14ac:dyDescent="0.25">
      <c r="A1986" s="39"/>
    </row>
    <row r="1987" spans="1:1" x14ac:dyDescent="0.25">
      <c r="A1987" s="39"/>
    </row>
    <row r="1988" spans="1:1" x14ac:dyDescent="0.25">
      <c r="A1988" s="39"/>
    </row>
    <row r="1989" spans="1:1" x14ac:dyDescent="0.25">
      <c r="A1989" s="39"/>
    </row>
    <row r="1990" spans="1:1" x14ac:dyDescent="0.25">
      <c r="A1990" s="39"/>
    </row>
    <row r="1991" spans="1:1" x14ac:dyDescent="0.25">
      <c r="A1991" s="39"/>
    </row>
    <row r="1992" spans="1:1" x14ac:dyDescent="0.25">
      <c r="A1992" s="39"/>
    </row>
    <row r="1993" spans="1:1" x14ac:dyDescent="0.25">
      <c r="A1993" s="39"/>
    </row>
    <row r="1994" spans="1:1" x14ac:dyDescent="0.25">
      <c r="A1994" s="39"/>
    </row>
    <row r="1995" spans="1:1" x14ac:dyDescent="0.25">
      <c r="A1995" s="39"/>
    </row>
    <row r="1996" spans="1:1" x14ac:dyDescent="0.25">
      <c r="A1996" s="39"/>
    </row>
    <row r="1997" spans="1:1" x14ac:dyDescent="0.25">
      <c r="A1997" s="39"/>
    </row>
    <row r="1998" spans="1:1" x14ac:dyDescent="0.25">
      <c r="A1998" s="39"/>
    </row>
    <row r="1999" spans="1:1" x14ac:dyDescent="0.25">
      <c r="A1999" s="39"/>
    </row>
    <row r="2000" spans="1:1" x14ac:dyDescent="0.25">
      <c r="A2000" s="39"/>
    </row>
    <row r="2001" spans="1:1" x14ac:dyDescent="0.25">
      <c r="A2001" s="39"/>
    </row>
    <row r="2002" spans="1:1" x14ac:dyDescent="0.25">
      <c r="A2002" s="39"/>
    </row>
    <row r="2003" spans="1:1" x14ac:dyDescent="0.25">
      <c r="A2003" s="39"/>
    </row>
    <row r="2004" spans="1:1" x14ac:dyDescent="0.25">
      <c r="A2004" s="39"/>
    </row>
    <row r="2005" spans="1:1" x14ac:dyDescent="0.25">
      <c r="A2005" s="39"/>
    </row>
    <row r="2006" spans="1:1" x14ac:dyDescent="0.25">
      <c r="A2006" s="39"/>
    </row>
    <row r="2007" spans="1:1" x14ac:dyDescent="0.25">
      <c r="A2007" s="39"/>
    </row>
    <row r="2008" spans="1:1" x14ac:dyDescent="0.25">
      <c r="A2008" s="39"/>
    </row>
    <row r="2009" spans="1:1" x14ac:dyDescent="0.25">
      <c r="A2009" s="39"/>
    </row>
    <row r="2010" spans="1:1" x14ac:dyDescent="0.25">
      <c r="A2010" s="39"/>
    </row>
    <row r="2011" spans="1:1" x14ac:dyDescent="0.25">
      <c r="A2011" s="39"/>
    </row>
    <row r="2012" spans="1:1" x14ac:dyDescent="0.25">
      <c r="A2012" s="39"/>
    </row>
    <row r="2013" spans="1:1" x14ac:dyDescent="0.25">
      <c r="A2013" s="39"/>
    </row>
    <row r="2014" spans="1:1" x14ac:dyDescent="0.25">
      <c r="A2014" s="39"/>
    </row>
    <row r="2015" spans="1:1" x14ac:dyDescent="0.25">
      <c r="A2015" s="39"/>
    </row>
    <row r="2016" spans="1:1" x14ac:dyDescent="0.25">
      <c r="A2016" s="39"/>
    </row>
    <row r="2017" spans="1:1" x14ac:dyDescent="0.25">
      <c r="A2017" s="39"/>
    </row>
    <row r="2018" spans="1:1" x14ac:dyDescent="0.25">
      <c r="A2018" s="39"/>
    </row>
    <row r="2019" spans="1:1" x14ac:dyDescent="0.25">
      <c r="A2019" s="39"/>
    </row>
    <row r="2020" spans="1:1" x14ac:dyDescent="0.25">
      <c r="A2020" s="39"/>
    </row>
    <row r="2021" spans="1:1" x14ac:dyDescent="0.25">
      <c r="A2021" s="39"/>
    </row>
    <row r="2022" spans="1:1" x14ac:dyDescent="0.25">
      <c r="A2022" s="39"/>
    </row>
    <row r="2023" spans="1:1" x14ac:dyDescent="0.25">
      <c r="A2023" s="39"/>
    </row>
    <row r="2024" spans="1:1" x14ac:dyDescent="0.25">
      <c r="A2024" s="39"/>
    </row>
    <row r="2025" spans="1:1" x14ac:dyDescent="0.25">
      <c r="A2025" s="39"/>
    </row>
    <row r="2026" spans="1:1" x14ac:dyDescent="0.25">
      <c r="A2026" s="39"/>
    </row>
    <row r="2027" spans="1:1" x14ac:dyDescent="0.25">
      <c r="A2027" s="39"/>
    </row>
    <row r="2028" spans="1:1" x14ac:dyDescent="0.25">
      <c r="A2028" s="39"/>
    </row>
    <row r="2029" spans="1:1" x14ac:dyDescent="0.25">
      <c r="A2029" s="39"/>
    </row>
    <row r="2030" spans="1:1" x14ac:dyDescent="0.25">
      <c r="A2030" s="39"/>
    </row>
    <row r="2031" spans="1:1" x14ac:dyDescent="0.25">
      <c r="A2031" s="39"/>
    </row>
    <row r="2032" spans="1:1" x14ac:dyDescent="0.25">
      <c r="A2032" s="39"/>
    </row>
    <row r="2033" spans="1:1" x14ac:dyDescent="0.25">
      <c r="A2033" s="39"/>
    </row>
    <row r="2034" spans="1:1" x14ac:dyDescent="0.25">
      <c r="A2034" s="39"/>
    </row>
    <row r="2035" spans="1:1" x14ac:dyDescent="0.25">
      <c r="A2035" s="39"/>
    </row>
    <row r="2036" spans="1:1" x14ac:dyDescent="0.25">
      <c r="A2036" s="39"/>
    </row>
    <row r="2037" spans="1:1" x14ac:dyDescent="0.25">
      <c r="A2037" s="39"/>
    </row>
    <row r="2038" spans="1:1" x14ac:dyDescent="0.25">
      <c r="A2038" s="39"/>
    </row>
    <row r="2039" spans="1:1" x14ac:dyDescent="0.25">
      <c r="A2039" s="39"/>
    </row>
    <row r="2040" spans="1:1" x14ac:dyDescent="0.25">
      <c r="A2040" s="39"/>
    </row>
    <row r="2041" spans="1:1" x14ac:dyDescent="0.25">
      <c r="A2041" s="39"/>
    </row>
    <row r="2042" spans="1:1" x14ac:dyDescent="0.25">
      <c r="A2042" s="39"/>
    </row>
    <row r="2043" spans="1:1" x14ac:dyDescent="0.25">
      <c r="A2043" s="39"/>
    </row>
    <row r="2044" spans="1:1" x14ac:dyDescent="0.25">
      <c r="A2044" s="39"/>
    </row>
    <row r="2045" spans="1:1" x14ac:dyDescent="0.25">
      <c r="A2045" s="39"/>
    </row>
    <row r="2046" spans="1:1" x14ac:dyDescent="0.25">
      <c r="A2046" s="39"/>
    </row>
    <row r="2047" spans="1:1" x14ac:dyDescent="0.25">
      <c r="A2047" s="39"/>
    </row>
    <row r="2048" spans="1:1" x14ac:dyDescent="0.25">
      <c r="A2048" s="39"/>
    </row>
    <row r="2049" spans="1:1" x14ac:dyDescent="0.25">
      <c r="A2049" s="39"/>
    </row>
    <row r="2050" spans="1:1" x14ac:dyDescent="0.25">
      <c r="A2050" s="39"/>
    </row>
    <row r="2051" spans="1:1" x14ac:dyDescent="0.25">
      <c r="A2051" s="39"/>
    </row>
    <row r="2052" spans="1:1" x14ac:dyDescent="0.25">
      <c r="A2052" s="39"/>
    </row>
    <row r="2053" spans="1:1" x14ac:dyDescent="0.25">
      <c r="A2053" s="39"/>
    </row>
    <row r="2054" spans="1:1" x14ac:dyDescent="0.25">
      <c r="A2054" s="39"/>
    </row>
    <row r="2055" spans="1:1" x14ac:dyDescent="0.25">
      <c r="A2055" s="39"/>
    </row>
    <row r="2056" spans="1:1" x14ac:dyDescent="0.25">
      <c r="A2056" s="39"/>
    </row>
    <row r="2057" spans="1:1" x14ac:dyDescent="0.25">
      <c r="A2057" s="39"/>
    </row>
    <row r="2058" spans="1:1" x14ac:dyDescent="0.25">
      <c r="A2058" s="39"/>
    </row>
    <row r="2059" spans="1:1" x14ac:dyDescent="0.25">
      <c r="A2059" s="39"/>
    </row>
    <row r="2060" spans="1:1" x14ac:dyDescent="0.25">
      <c r="A2060" s="39"/>
    </row>
    <row r="2061" spans="1:1" x14ac:dyDescent="0.25">
      <c r="A2061" s="39"/>
    </row>
    <row r="2062" spans="1:1" x14ac:dyDescent="0.25">
      <c r="A2062" s="39"/>
    </row>
    <row r="2063" spans="1:1" x14ac:dyDescent="0.25">
      <c r="A2063" s="39"/>
    </row>
    <row r="2064" spans="1:1" x14ac:dyDescent="0.25">
      <c r="A2064" s="39"/>
    </row>
    <row r="2065" spans="1:1" x14ac:dyDescent="0.25">
      <c r="A2065" s="39"/>
    </row>
    <row r="2066" spans="1:1" x14ac:dyDescent="0.25">
      <c r="A2066" s="39"/>
    </row>
    <row r="2067" spans="1:1" x14ac:dyDescent="0.25">
      <c r="A2067" s="39"/>
    </row>
    <row r="2068" spans="1:1" x14ac:dyDescent="0.25">
      <c r="A2068" s="39"/>
    </row>
    <row r="2069" spans="1:1" x14ac:dyDescent="0.25">
      <c r="A2069" s="39"/>
    </row>
    <row r="2070" spans="1:1" x14ac:dyDescent="0.25">
      <c r="A2070" s="39"/>
    </row>
    <row r="2071" spans="1:1" x14ac:dyDescent="0.25">
      <c r="A2071" s="39"/>
    </row>
    <row r="2072" spans="1:1" x14ac:dyDescent="0.25">
      <c r="A2072" s="39"/>
    </row>
    <row r="2073" spans="1:1" x14ac:dyDescent="0.25">
      <c r="A2073" s="39"/>
    </row>
    <row r="2074" spans="1:1" x14ac:dyDescent="0.25">
      <c r="A2074" s="39"/>
    </row>
    <row r="2075" spans="1:1" x14ac:dyDescent="0.25">
      <c r="A2075" s="39"/>
    </row>
    <row r="2076" spans="1:1" x14ac:dyDescent="0.25">
      <c r="A2076" s="39"/>
    </row>
    <row r="2077" spans="1:1" x14ac:dyDescent="0.25">
      <c r="A2077" s="39"/>
    </row>
    <row r="2078" spans="1:1" x14ac:dyDescent="0.25">
      <c r="A2078" s="39"/>
    </row>
    <row r="2079" spans="1:1" x14ac:dyDescent="0.25">
      <c r="A2079" s="39"/>
    </row>
    <row r="2080" spans="1:1" x14ac:dyDescent="0.25">
      <c r="A2080" s="39"/>
    </row>
    <row r="2081" spans="1:1" x14ac:dyDescent="0.25">
      <c r="A2081" s="39"/>
    </row>
    <row r="2082" spans="1:1" x14ac:dyDescent="0.25">
      <c r="A2082" s="39"/>
    </row>
    <row r="2083" spans="1:1" x14ac:dyDescent="0.25">
      <c r="A2083" s="39"/>
    </row>
    <row r="2084" spans="1:1" x14ac:dyDescent="0.25">
      <c r="A2084" s="39"/>
    </row>
    <row r="2085" spans="1:1" x14ac:dyDescent="0.25">
      <c r="A2085" s="39"/>
    </row>
    <row r="2086" spans="1:1" x14ac:dyDescent="0.25">
      <c r="A2086" s="39"/>
    </row>
    <row r="2087" spans="1:1" x14ac:dyDescent="0.25">
      <c r="A2087" s="39"/>
    </row>
    <row r="2088" spans="1:1" x14ac:dyDescent="0.25">
      <c r="A2088" s="39"/>
    </row>
    <row r="2089" spans="1:1" x14ac:dyDescent="0.25">
      <c r="A2089" s="39"/>
    </row>
    <row r="2090" spans="1:1" x14ac:dyDescent="0.25">
      <c r="A2090" s="39"/>
    </row>
    <row r="2091" spans="1:1" x14ac:dyDescent="0.25">
      <c r="A2091" s="39"/>
    </row>
    <row r="2092" spans="1:1" x14ac:dyDescent="0.25">
      <c r="A2092" s="39"/>
    </row>
    <row r="2093" spans="1:1" x14ac:dyDescent="0.25">
      <c r="A2093" s="39"/>
    </row>
    <row r="2094" spans="1:1" x14ac:dyDescent="0.25">
      <c r="A2094" s="39"/>
    </row>
    <row r="2095" spans="1:1" x14ac:dyDescent="0.25">
      <c r="A2095" s="39"/>
    </row>
    <row r="2096" spans="1:1" x14ac:dyDescent="0.25">
      <c r="A2096" s="39"/>
    </row>
    <row r="2097" spans="1:1" x14ac:dyDescent="0.25">
      <c r="A2097" s="39"/>
    </row>
    <row r="2098" spans="1:1" x14ac:dyDescent="0.25">
      <c r="A2098" s="39"/>
    </row>
    <row r="2099" spans="1:1" x14ac:dyDescent="0.25">
      <c r="A2099" s="39"/>
    </row>
    <row r="2100" spans="1:1" x14ac:dyDescent="0.25">
      <c r="A2100" s="39"/>
    </row>
    <row r="2101" spans="1:1" x14ac:dyDescent="0.25">
      <c r="A2101" s="39"/>
    </row>
    <row r="2102" spans="1:1" x14ac:dyDescent="0.25">
      <c r="A2102" s="39"/>
    </row>
    <row r="2103" spans="1:1" x14ac:dyDescent="0.25">
      <c r="A2103" s="39"/>
    </row>
    <row r="2104" spans="1:1" x14ac:dyDescent="0.25">
      <c r="A2104" s="39"/>
    </row>
    <row r="2105" spans="1:1" x14ac:dyDescent="0.25">
      <c r="A2105" s="39"/>
    </row>
    <row r="2106" spans="1:1" x14ac:dyDescent="0.25">
      <c r="A2106" s="39"/>
    </row>
    <row r="2107" spans="1:1" x14ac:dyDescent="0.25">
      <c r="A2107" s="39"/>
    </row>
    <row r="2108" spans="1:1" x14ac:dyDescent="0.25">
      <c r="A2108" s="39"/>
    </row>
    <row r="2109" spans="1:1" x14ac:dyDescent="0.25">
      <c r="A2109" s="39"/>
    </row>
    <row r="2110" spans="1:1" x14ac:dyDescent="0.25">
      <c r="A2110" s="39"/>
    </row>
    <row r="2111" spans="1:1" x14ac:dyDescent="0.25">
      <c r="A2111" s="39"/>
    </row>
    <row r="2112" spans="1:1" x14ac:dyDescent="0.25">
      <c r="A2112" s="39"/>
    </row>
    <row r="2113" spans="1:1" x14ac:dyDescent="0.25">
      <c r="A2113" s="39"/>
    </row>
    <row r="2114" spans="1:1" x14ac:dyDescent="0.25">
      <c r="A2114" s="39"/>
    </row>
    <row r="2115" spans="1:1" x14ac:dyDescent="0.25">
      <c r="A2115" s="39"/>
    </row>
    <row r="2116" spans="1:1" x14ac:dyDescent="0.25">
      <c r="A2116" s="39"/>
    </row>
    <row r="2117" spans="1:1" x14ac:dyDescent="0.25">
      <c r="A2117" s="39"/>
    </row>
    <row r="2118" spans="1:1" x14ac:dyDescent="0.25">
      <c r="A2118" s="39"/>
    </row>
    <row r="2119" spans="1:1" x14ac:dyDescent="0.25">
      <c r="A2119" s="39"/>
    </row>
    <row r="2120" spans="1:1" x14ac:dyDescent="0.25">
      <c r="A2120" s="39"/>
    </row>
    <row r="2121" spans="1:1" x14ac:dyDescent="0.25">
      <c r="A2121" s="39"/>
    </row>
    <row r="2122" spans="1:1" x14ac:dyDescent="0.25">
      <c r="A2122" s="39"/>
    </row>
    <row r="2123" spans="1:1" x14ac:dyDescent="0.25">
      <c r="A2123" s="39"/>
    </row>
    <row r="2124" spans="1:1" x14ac:dyDescent="0.25">
      <c r="A2124" s="39"/>
    </row>
    <row r="2125" spans="1:1" x14ac:dyDescent="0.25">
      <c r="A2125" s="39"/>
    </row>
    <row r="2126" spans="1:1" x14ac:dyDescent="0.25">
      <c r="A2126" s="39"/>
    </row>
    <row r="2127" spans="1:1" x14ac:dyDescent="0.25">
      <c r="A2127" s="39"/>
    </row>
    <row r="2128" spans="1:1" x14ac:dyDescent="0.25">
      <c r="A2128" s="39"/>
    </row>
    <row r="2129" spans="1:1" x14ac:dyDescent="0.25">
      <c r="A2129" s="39"/>
    </row>
    <row r="2130" spans="1:1" x14ac:dyDescent="0.25">
      <c r="A2130" s="39"/>
    </row>
    <row r="2131" spans="1:1" x14ac:dyDescent="0.25">
      <c r="A2131" s="39"/>
    </row>
    <row r="2132" spans="1:1" x14ac:dyDescent="0.25">
      <c r="A2132" s="39"/>
    </row>
    <row r="2133" spans="1:1" x14ac:dyDescent="0.25">
      <c r="A2133" s="39"/>
    </row>
    <row r="2134" spans="1:1" x14ac:dyDescent="0.25">
      <c r="A2134" s="39"/>
    </row>
    <row r="2135" spans="1:1" x14ac:dyDescent="0.25">
      <c r="A2135" s="39"/>
    </row>
    <row r="2136" spans="1:1" x14ac:dyDescent="0.25">
      <c r="A2136" s="39"/>
    </row>
    <row r="2137" spans="1:1" x14ac:dyDescent="0.25">
      <c r="A2137" s="39"/>
    </row>
    <row r="2138" spans="1:1" x14ac:dyDescent="0.25">
      <c r="A2138" s="39"/>
    </row>
    <row r="2139" spans="1:1" x14ac:dyDescent="0.25">
      <c r="A2139" s="39"/>
    </row>
    <row r="2140" spans="1:1" x14ac:dyDescent="0.25">
      <c r="A2140" s="39"/>
    </row>
    <row r="2141" spans="1:1" x14ac:dyDescent="0.25">
      <c r="A2141" s="39"/>
    </row>
    <row r="2142" spans="1:1" x14ac:dyDescent="0.25">
      <c r="A2142" s="39"/>
    </row>
    <row r="2143" spans="1:1" x14ac:dyDescent="0.25">
      <c r="A2143" s="39"/>
    </row>
    <row r="2144" spans="1:1" x14ac:dyDescent="0.25">
      <c r="A2144" s="39"/>
    </row>
    <row r="2145" spans="1:1" x14ac:dyDescent="0.25">
      <c r="A2145" s="39"/>
    </row>
    <row r="2146" spans="1:1" x14ac:dyDescent="0.25">
      <c r="A2146" s="39"/>
    </row>
    <row r="2147" spans="1:1" x14ac:dyDescent="0.25">
      <c r="A2147" s="39"/>
    </row>
    <row r="2148" spans="1:1" x14ac:dyDescent="0.25">
      <c r="A2148" s="39"/>
    </row>
    <row r="2149" spans="1:1" x14ac:dyDescent="0.25">
      <c r="A2149" s="39"/>
    </row>
    <row r="2150" spans="1:1" x14ac:dyDescent="0.25">
      <c r="A2150" s="39"/>
    </row>
    <row r="2151" spans="1:1" x14ac:dyDescent="0.25">
      <c r="A2151" s="39"/>
    </row>
    <row r="2152" spans="1:1" x14ac:dyDescent="0.25">
      <c r="A2152" s="39"/>
    </row>
    <row r="2153" spans="1:1" x14ac:dyDescent="0.25">
      <c r="A2153" s="39"/>
    </row>
    <row r="2154" spans="1:1" x14ac:dyDescent="0.25">
      <c r="A2154" s="39"/>
    </row>
    <row r="2155" spans="1:1" x14ac:dyDescent="0.25">
      <c r="A2155" s="39"/>
    </row>
    <row r="2156" spans="1:1" x14ac:dyDescent="0.25">
      <c r="A2156" s="39"/>
    </row>
    <row r="2157" spans="1:1" x14ac:dyDescent="0.25">
      <c r="A2157" s="39"/>
    </row>
    <row r="2158" spans="1:1" x14ac:dyDescent="0.25">
      <c r="A2158" s="39"/>
    </row>
    <row r="2159" spans="1:1" x14ac:dyDescent="0.25">
      <c r="A2159" s="39"/>
    </row>
    <row r="2160" spans="1:1" x14ac:dyDescent="0.25">
      <c r="A2160" s="39"/>
    </row>
    <row r="2161" spans="1:1" x14ac:dyDescent="0.25">
      <c r="A2161" s="39"/>
    </row>
    <row r="2162" spans="1:1" x14ac:dyDescent="0.25">
      <c r="A2162" s="39"/>
    </row>
    <row r="2163" spans="1:1" x14ac:dyDescent="0.25">
      <c r="A2163" s="39"/>
    </row>
    <row r="2164" spans="1:1" x14ac:dyDescent="0.25">
      <c r="A2164" s="39"/>
    </row>
    <row r="2165" spans="1:1" x14ac:dyDescent="0.25">
      <c r="A2165" s="39"/>
    </row>
    <row r="2166" spans="1:1" x14ac:dyDescent="0.25">
      <c r="A2166" s="39"/>
    </row>
    <row r="2167" spans="1:1" x14ac:dyDescent="0.25">
      <c r="A2167" s="39"/>
    </row>
    <row r="2168" spans="1:1" x14ac:dyDescent="0.25">
      <c r="A2168" s="39"/>
    </row>
    <row r="2169" spans="1:1" x14ac:dyDescent="0.25">
      <c r="A2169" s="39"/>
    </row>
    <row r="2170" spans="1:1" x14ac:dyDescent="0.25">
      <c r="A2170" s="39"/>
    </row>
    <row r="2171" spans="1:1" x14ac:dyDescent="0.25">
      <c r="A2171" s="39"/>
    </row>
    <row r="2172" spans="1:1" x14ac:dyDescent="0.25">
      <c r="A2172" s="39"/>
    </row>
    <row r="2173" spans="1:1" x14ac:dyDescent="0.25">
      <c r="A2173" s="39"/>
    </row>
    <row r="2174" spans="1:1" x14ac:dyDescent="0.25">
      <c r="A2174" s="39"/>
    </row>
    <row r="2175" spans="1:1" x14ac:dyDescent="0.25">
      <c r="A2175" s="39"/>
    </row>
    <row r="2176" spans="1:1" x14ac:dyDescent="0.25">
      <c r="A2176" s="39"/>
    </row>
    <row r="2177" spans="1:1" x14ac:dyDescent="0.25">
      <c r="A2177" s="39"/>
    </row>
    <row r="2178" spans="1:1" x14ac:dyDescent="0.25">
      <c r="A2178" s="39"/>
    </row>
    <row r="2179" spans="1:1" x14ac:dyDescent="0.25">
      <c r="A2179" s="39"/>
    </row>
    <row r="2180" spans="1:1" x14ac:dyDescent="0.25">
      <c r="A2180" s="39"/>
    </row>
    <row r="2181" spans="1:1" x14ac:dyDescent="0.25">
      <c r="A2181" s="39"/>
    </row>
    <row r="2182" spans="1:1" x14ac:dyDescent="0.25">
      <c r="A2182" s="39"/>
    </row>
    <row r="2183" spans="1:1" x14ac:dyDescent="0.25">
      <c r="A2183" s="39"/>
    </row>
    <row r="2184" spans="1:1" x14ac:dyDescent="0.25">
      <c r="A2184" s="39"/>
    </row>
    <row r="2185" spans="1:1" x14ac:dyDescent="0.25">
      <c r="A2185" s="39"/>
    </row>
    <row r="2186" spans="1:1" x14ac:dyDescent="0.25">
      <c r="A2186" s="39"/>
    </row>
    <row r="2187" spans="1:1" x14ac:dyDescent="0.25">
      <c r="A2187" s="39"/>
    </row>
    <row r="2188" spans="1:1" x14ac:dyDescent="0.25">
      <c r="A2188" s="39"/>
    </row>
    <row r="2189" spans="1:1" x14ac:dyDescent="0.25">
      <c r="A2189" s="39"/>
    </row>
    <row r="2190" spans="1:1" x14ac:dyDescent="0.25">
      <c r="A2190" s="39"/>
    </row>
    <row r="2191" spans="1:1" x14ac:dyDescent="0.25">
      <c r="A2191" s="39"/>
    </row>
    <row r="2192" spans="1:1" x14ac:dyDescent="0.25">
      <c r="A2192" s="39"/>
    </row>
    <row r="2193" spans="1:1" x14ac:dyDescent="0.25">
      <c r="A2193" s="39"/>
    </row>
    <row r="2194" spans="1:1" x14ac:dyDescent="0.25">
      <c r="A2194" s="39"/>
    </row>
    <row r="2195" spans="1:1" x14ac:dyDescent="0.25">
      <c r="A2195" s="39"/>
    </row>
    <row r="2196" spans="1:1" x14ac:dyDescent="0.25">
      <c r="A2196" s="39"/>
    </row>
    <row r="2197" spans="1:1" x14ac:dyDescent="0.25">
      <c r="A2197" s="39"/>
    </row>
    <row r="2198" spans="1:1" x14ac:dyDescent="0.25">
      <c r="A2198" s="39"/>
    </row>
    <row r="2199" spans="1:1" x14ac:dyDescent="0.25">
      <c r="A2199" s="39"/>
    </row>
    <row r="2200" spans="1:1" x14ac:dyDescent="0.25">
      <c r="A2200" s="39"/>
    </row>
    <row r="2201" spans="1:1" x14ac:dyDescent="0.25">
      <c r="A2201" s="39"/>
    </row>
    <row r="2202" spans="1:1" x14ac:dyDescent="0.25">
      <c r="A2202" s="39"/>
    </row>
    <row r="2203" spans="1:1" x14ac:dyDescent="0.25">
      <c r="A2203" s="39"/>
    </row>
    <row r="2204" spans="1:1" x14ac:dyDescent="0.25">
      <c r="A2204" s="39"/>
    </row>
    <row r="2205" spans="1:1" x14ac:dyDescent="0.25">
      <c r="A2205" s="39"/>
    </row>
    <row r="2206" spans="1:1" x14ac:dyDescent="0.25">
      <c r="A2206" s="39"/>
    </row>
    <row r="2207" spans="1:1" x14ac:dyDescent="0.25">
      <c r="A2207" s="39"/>
    </row>
    <row r="2208" spans="1:1" x14ac:dyDescent="0.25">
      <c r="A2208" s="39"/>
    </row>
    <row r="2209" spans="1:1" x14ac:dyDescent="0.25">
      <c r="A2209" s="39"/>
    </row>
    <row r="2210" spans="1:1" x14ac:dyDescent="0.25">
      <c r="A2210" s="39"/>
    </row>
    <row r="2211" spans="1:1" x14ac:dyDescent="0.25">
      <c r="A2211" s="39"/>
    </row>
    <row r="2212" spans="1:1" x14ac:dyDescent="0.25">
      <c r="A2212" s="39"/>
    </row>
    <row r="2213" spans="1:1" x14ac:dyDescent="0.25">
      <c r="A2213" s="39"/>
    </row>
    <row r="2214" spans="1:1" x14ac:dyDescent="0.25">
      <c r="A2214" s="39"/>
    </row>
    <row r="2215" spans="1:1" x14ac:dyDescent="0.25">
      <c r="A2215" s="39"/>
    </row>
    <row r="2216" spans="1:1" x14ac:dyDescent="0.25">
      <c r="A2216" s="39"/>
    </row>
    <row r="2217" spans="1:1" x14ac:dyDescent="0.25">
      <c r="A2217" s="39"/>
    </row>
    <row r="2218" spans="1:1" x14ac:dyDescent="0.25">
      <c r="A2218" s="39"/>
    </row>
    <row r="2219" spans="1:1" x14ac:dyDescent="0.25">
      <c r="A2219" s="39"/>
    </row>
    <row r="2220" spans="1:1" x14ac:dyDescent="0.25">
      <c r="A2220" s="39"/>
    </row>
    <row r="2221" spans="1:1" x14ac:dyDescent="0.25">
      <c r="A2221" s="39"/>
    </row>
    <row r="2222" spans="1:1" x14ac:dyDescent="0.25">
      <c r="A2222" s="39"/>
    </row>
    <row r="2223" spans="1:1" x14ac:dyDescent="0.25">
      <c r="A2223" s="39"/>
    </row>
    <row r="2224" spans="1:1" x14ac:dyDescent="0.25">
      <c r="A2224" s="39"/>
    </row>
    <row r="2225" spans="1:1" x14ac:dyDescent="0.25">
      <c r="A2225" s="39"/>
    </row>
    <row r="2226" spans="1:1" x14ac:dyDescent="0.25">
      <c r="A2226" s="39"/>
    </row>
    <row r="2227" spans="1:1" x14ac:dyDescent="0.25">
      <c r="A2227" s="39"/>
    </row>
    <row r="2228" spans="1:1" x14ac:dyDescent="0.25">
      <c r="A2228" s="39"/>
    </row>
    <row r="2229" spans="1:1" x14ac:dyDescent="0.25">
      <c r="A2229" s="39"/>
    </row>
    <row r="2230" spans="1:1" x14ac:dyDescent="0.25">
      <c r="A2230" s="39"/>
    </row>
    <row r="2231" spans="1:1" x14ac:dyDescent="0.25">
      <c r="A2231" s="39"/>
    </row>
    <row r="2232" spans="1:1" x14ac:dyDescent="0.25">
      <c r="A2232" s="39"/>
    </row>
    <row r="2233" spans="1:1" x14ac:dyDescent="0.25">
      <c r="A2233" s="39"/>
    </row>
    <row r="2234" spans="1:1" x14ac:dyDescent="0.25">
      <c r="A2234" s="39"/>
    </row>
    <row r="2235" spans="1:1" x14ac:dyDescent="0.25">
      <c r="A2235" s="39"/>
    </row>
    <row r="2236" spans="1:1" x14ac:dyDescent="0.25">
      <c r="A2236" s="39"/>
    </row>
    <row r="2237" spans="1:1" x14ac:dyDescent="0.25">
      <c r="A2237" s="39"/>
    </row>
    <row r="2238" spans="1:1" x14ac:dyDescent="0.25">
      <c r="A2238" s="39"/>
    </row>
    <row r="2239" spans="1:1" x14ac:dyDescent="0.25">
      <c r="A2239" s="39"/>
    </row>
    <row r="2240" spans="1:1" x14ac:dyDescent="0.25">
      <c r="A2240" s="39"/>
    </row>
    <row r="2241" spans="1:1" x14ac:dyDescent="0.25">
      <c r="A2241" s="39"/>
    </row>
    <row r="2242" spans="1:1" x14ac:dyDescent="0.25">
      <c r="A2242" s="39"/>
    </row>
    <row r="2243" spans="1:1" x14ac:dyDescent="0.25">
      <c r="A2243" s="39"/>
    </row>
    <row r="2244" spans="1:1" x14ac:dyDescent="0.25">
      <c r="A2244" s="39"/>
    </row>
    <row r="2245" spans="1:1" x14ac:dyDescent="0.25">
      <c r="A2245" s="39"/>
    </row>
    <row r="2246" spans="1:1" x14ac:dyDescent="0.25">
      <c r="A2246" s="39"/>
    </row>
    <row r="2247" spans="1:1" x14ac:dyDescent="0.25">
      <c r="A2247" s="39"/>
    </row>
    <row r="2248" spans="1:1" x14ac:dyDescent="0.25">
      <c r="A2248" s="39"/>
    </row>
    <row r="2249" spans="1:1" x14ac:dyDescent="0.25">
      <c r="A2249" s="39"/>
    </row>
    <row r="2250" spans="1:1" x14ac:dyDescent="0.25">
      <c r="A2250" s="39"/>
    </row>
    <row r="2251" spans="1:1" x14ac:dyDescent="0.25">
      <c r="A2251" s="39"/>
    </row>
    <row r="2252" spans="1:1" x14ac:dyDescent="0.25">
      <c r="A2252" s="39"/>
    </row>
    <row r="2253" spans="1:1" x14ac:dyDescent="0.25">
      <c r="A2253" s="39"/>
    </row>
    <row r="2254" spans="1:1" x14ac:dyDescent="0.25">
      <c r="A2254" s="39"/>
    </row>
    <row r="2255" spans="1:1" x14ac:dyDescent="0.25">
      <c r="A2255" s="39"/>
    </row>
    <row r="2256" spans="1:1" x14ac:dyDescent="0.25">
      <c r="A2256" s="39"/>
    </row>
    <row r="2257" spans="1:1" x14ac:dyDescent="0.25">
      <c r="A2257" s="39"/>
    </row>
    <row r="2258" spans="1:1" x14ac:dyDescent="0.25">
      <c r="A2258" s="39"/>
    </row>
    <row r="2259" spans="1:1" x14ac:dyDescent="0.25">
      <c r="A2259" s="39"/>
    </row>
    <row r="2260" spans="1:1" x14ac:dyDescent="0.25">
      <c r="A2260" s="39"/>
    </row>
    <row r="2261" spans="1:1" x14ac:dyDescent="0.25">
      <c r="A2261" s="39"/>
    </row>
    <row r="2262" spans="1:1" x14ac:dyDescent="0.25">
      <c r="A2262" s="39"/>
    </row>
    <row r="2263" spans="1:1" x14ac:dyDescent="0.25">
      <c r="A2263" s="39"/>
    </row>
    <row r="2264" spans="1:1" x14ac:dyDescent="0.25">
      <c r="A2264" s="39"/>
    </row>
    <row r="2265" spans="1:1" x14ac:dyDescent="0.25">
      <c r="A2265" s="39"/>
    </row>
    <row r="2266" spans="1:1" x14ac:dyDescent="0.25">
      <c r="A2266" s="39"/>
    </row>
    <row r="2267" spans="1:1" x14ac:dyDescent="0.25">
      <c r="A2267" s="39"/>
    </row>
    <row r="2268" spans="1:1" x14ac:dyDescent="0.25">
      <c r="A2268" s="39"/>
    </row>
    <row r="2269" spans="1:1" x14ac:dyDescent="0.25">
      <c r="A2269" s="39"/>
    </row>
    <row r="2270" spans="1:1" x14ac:dyDescent="0.25">
      <c r="A2270" s="39"/>
    </row>
    <row r="2271" spans="1:1" x14ac:dyDescent="0.25">
      <c r="A2271" s="39"/>
    </row>
    <row r="2272" spans="1:1" x14ac:dyDescent="0.25">
      <c r="A2272" s="39"/>
    </row>
    <row r="2273" spans="1:1" x14ac:dyDescent="0.25">
      <c r="A2273" s="39"/>
    </row>
    <row r="2274" spans="1:1" x14ac:dyDescent="0.25">
      <c r="A2274" s="39"/>
    </row>
    <row r="2275" spans="1:1" x14ac:dyDescent="0.25">
      <c r="A2275" s="39"/>
    </row>
    <row r="2276" spans="1:1" x14ac:dyDescent="0.25">
      <c r="A2276" s="39"/>
    </row>
    <row r="2277" spans="1:1" x14ac:dyDescent="0.25">
      <c r="A2277" s="39"/>
    </row>
    <row r="2278" spans="1:1" x14ac:dyDescent="0.25">
      <c r="A2278" s="39"/>
    </row>
    <row r="2279" spans="1:1" x14ac:dyDescent="0.25">
      <c r="A2279" s="39"/>
    </row>
    <row r="2280" spans="1:1" x14ac:dyDescent="0.25">
      <c r="A2280" s="39"/>
    </row>
    <row r="2281" spans="1:1" x14ac:dyDescent="0.25">
      <c r="A2281" s="39"/>
    </row>
    <row r="2282" spans="1:1" x14ac:dyDescent="0.25">
      <c r="A2282" s="39"/>
    </row>
    <row r="2283" spans="1:1" x14ac:dyDescent="0.25">
      <c r="A2283" s="39"/>
    </row>
    <row r="2284" spans="1:1" x14ac:dyDescent="0.25">
      <c r="A2284" s="39"/>
    </row>
    <row r="2285" spans="1:1" x14ac:dyDescent="0.25">
      <c r="A2285" s="39"/>
    </row>
    <row r="2286" spans="1:1" x14ac:dyDescent="0.25">
      <c r="A2286" s="39"/>
    </row>
    <row r="2287" spans="1:1" x14ac:dyDescent="0.25">
      <c r="A2287" s="39"/>
    </row>
    <row r="2288" spans="1:1" x14ac:dyDescent="0.25">
      <c r="A2288" s="39"/>
    </row>
    <row r="2289" spans="1:1" x14ac:dyDescent="0.25">
      <c r="A2289" s="39"/>
    </row>
    <row r="2290" spans="1:1" x14ac:dyDescent="0.25">
      <c r="A2290" s="39"/>
    </row>
    <row r="2291" spans="1:1" x14ac:dyDescent="0.25">
      <c r="A2291" s="39"/>
    </row>
    <row r="2292" spans="1:1" x14ac:dyDescent="0.25">
      <c r="A2292" s="39"/>
    </row>
    <row r="2293" spans="1:1" x14ac:dyDescent="0.25">
      <c r="A2293" s="39"/>
    </row>
    <row r="2294" spans="1:1" x14ac:dyDescent="0.25">
      <c r="A2294" s="39"/>
    </row>
    <row r="2295" spans="1:1" x14ac:dyDescent="0.25">
      <c r="A2295" s="39"/>
    </row>
    <row r="2296" spans="1:1" x14ac:dyDescent="0.25">
      <c r="A2296" s="39"/>
    </row>
    <row r="2297" spans="1:1" x14ac:dyDescent="0.25">
      <c r="A2297" s="39"/>
    </row>
    <row r="2298" spans="1:1" x14ac:dyDescent="0.25">
      <c r="A2298" s="39"/>
    </row>
    <row r="2299" spans="1:1" x14ac:dyDescent="0.25">
      <c r="A2299" s="39"/>
    </row>
    <row r="2300" spans="1:1" x14ac:dyDescent="0.25">
      <c r="A2300" s="39"/>
    </row>
    <row r="2301" spans="1:1" x14ac:dyDescent="0.25">
      <c r="A2301" s="39"/>
    </row>
    <row r="2302" spans="1:1" x14ac:dyDescent="0.25">
      <c r="A2302" s="39"/>
    </row>
    <row r="2303" spans="1:1" x14ac:dyDescent="0.25">
      <c r="A2303" s="39"/>
    </row>
    <row r="2304" spans="1:1" x14ac:dyDescent="0.25">
      <c r="A2304" s="39"/>
    </row>
    <row r="2305" spans="1:1" x14ac:dyDescent="0.25">
      <c r="A2305" s="39"/>
    </row>
    <row r="2306" spans="1:1" x14ac:dyDescent="0.25">
      <c r="A2306" s="39"/>
    </row>
    <row r="2307" spans="1:1" x14ac:dyDescent="0.25">
      <c r="A2307" s="39"/>
    </row>
    <row r="2308" spans="1:1" x14ac:dyDescent="0.25">
      <c r="A2308" s="39"/>
    </row>
    <row r="2309" spans="1:1" x14ac:dyDescent="0.25">
      <c r="A2309" s="39"/>
    </row>
    <row r="2310" spans="1:1" x14ac:dyDescent="0.25">
      <c r="A2310" s="39"/>
    </row>
    <row r="2311" spans="1:1" x14ac:dyDescent="0.25">
      <c r="A2311" s="39"/>
    </row>
    <row r="2312" spans="1:1" x14ac:dyDescent="0.25">
      <c r="A2312" s="39"/>
    </row>
    <row r="2313" spans="1:1" x14ac:dyDescent="0.25">
      <c r="A2313" s="39"/>
    </row>
    <row r="2314" spans="1:1" x14ac:dyDescent="0.25">
      <c r="A2314" s="39"/>
    </row>
    <row r="2315" spans="1:1" x14ac:dyDescent="0.25">
      <c r="A2315" s="39"/>
    </row>
    <row r="2316" spans="1:1" x14ac:dyDescent="0.25">
      <c r="A2316" s="39"/>
    </row>
    <row r="2317" spans="1:1" x14ac:dyDescent="0.25">
      <c r="A2317" s="39"/>
    </row>
    <row r="2318" spans="1:1" x14ac:dyDescent="0.25">
      <c r="A2318" s="39"/>
    </row>
    <row r="2319" spans="1:1" x14ac:dyDescent="0.25">
      <c r="A2319" s="39"/>
    </row>
    <row r="2320" spans="1:1" x14ac:dyDescent="0.25">
      <c r="A2320" s="39"/>
    </row>
    <row r="2321" spans="1:1" x14ac:dyDescent="0.25">
      <c r="A2321" s="39"/>
    </row>
    <row r="2322" spans="1:1" x14ac:dyDescent="0.25">
      <c r="A2322" s="39"/>
    </row>
    <row r="2323" spans="1:1" x14ac:dyDescent="0.25">
      <c r="A2323" s="39"/>
    </row>
    <row r="2324" spans="1:1" x14ac:dyDescent="0.25">
      <c r="A2324" s="39"/>
    </row>
    <row r="2325" spans="1:1" x14ac:dyDescent="0.25">
      <c r="A2325" s="39"/>
    </row>
    <row r="2326" spans="1:1" x14ac:dyDescent="0.25">
      <c r="A2326" s="39"/>
    </row>
    <row r="2327" spans="1:1" x14ac:dyDescent="0.25">
      <c r="A2327" s="3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G87"/>
  <sheetViews>
    <sheetView workbookViewId="0">
      <selection activeCell="F12" sqref="F12"/>
    </sheetView>
  </sheetViews>
  <sheetFormatPr defaultRowHeight="15" x14ac:dyDescent="0.25"/>
  <cols>
    <col min="1" max="1" width="13.28515625" customWidth="1"/>
    <col min="2" max="2" width="9.140625" style="41"/>
    <col min="7" max="7" width="9.140625" style="41"/>
  </cols>
  <sheetData>
    <row r="1" spans="1:7" ht="15.75" thickBot="1" x14ac:dyDescent="0.3">
      <c r="B1"/>
      <c r="G1"/>
    </row>
    <row r="2" spans="1:7" x14ac:dyDescent="0.25">
      <c r="A2" t="s">
        <v>82</v>
      </c>
      <c r="B2"/>
      <c r="D2" s="27">
        <v>25</v>
      </c>
      <c r="G2"/>
    </row>
    <row r="3" spans="1:7" ht="15.75" thickBot="1" x14ac:dyDescent="0.3">
      <c r="A3" t="s">
        <v>83</v>
      </c>
      <c r="B3"/>
      <c r="D3" s="38">
        <v>1</v>
      </c>
      <c r="G3"/>
    </row>
    <row r="4" spans="1:7" x14ac:dyDescent="0.25">
      <c r="B4"/>
      <c r="G4"/>
    </row>
    <row r="5" spans="1:7" x14ac:dyDescent="0.25">
      <c r="A5" s="6" t="s">
        <v>86</v>
      </c>
      <c r="B5" s="6"/>
      <c r="G5"/>
    </row>
    <row r="6" spans="1:7" x14ac:dyDescent="0.25">
      <c r="A6" t="s">
        <v>87</v>
      </c>
      <c r="B6" t="s">
        <v>4</v>
      </c>
      <c r="C6" t="s">
        <v>84</v>
      </c>
      <c r="D6" t="s">
        <v>85</v>
      </c>
      <c r="G6" t="s">
        <v>89</v>
      </c>
    </row>
    <row r="7" spans="1:7" x14ac:dyDescent="0.25">
      <c r="B7" s="40">
        <v>3.0000000000000001E-3</v>
      </c>
      <c r="G7" s="41">
        <v>9.5966631834084062E-2</v>
      </c>
    </row>
    <row r="8" spans="1:7" x14ac:dyDescent="0.25">
      <c r="B8" s="40"/>
    </row>
    <row r="9" spans="1:7" x14ac:dyDescent="0.25">
      <c r="B9" s="40"/>
    </row>
    <row r="10" spans="1:7" x14ac:dyDescent="0.25">
      <c r="B10" s="40"/>
    </row>
    <row r="11" spans="1:7" x14ac:dyDescent="0.25">
      <c r="B11" s="40"/>
    </row>
    <row r="12" spans="1:7" x14ac:dyDescent="0.25">
      <c r="B12" s="40"/>
    </row>
    <row r="13" spans="1:7" x14ac:dyDescent="0.25">
      <c r="B13" s="40"/>
    </row>
    <row r="14" spans="1:7" x14ac:dyDescent="0.25">
      <c r="B14" s="40"/>
    </row>
    <row r="15" spans="1:7" x14ac:dyDescent="0.25">
      <c r="B15" s="40"/>
    </row>
    <row r="16" spans="1:7" x14ac:dyDescent="0.25">
      <c r="B16" s="40"/>
    </row>
    <row r="17" spans="2:2" x14ac:dyDescent="0.25">
      <c r="B17" s="40"/>
    </row>
    <row r="18" spans="2:2" x14ac:dyDescent="0.25">
      <c r="B18" s="40"/>
    </row>
    <row r="19" spans="2:2" x14ac:dyDescent="0.25">
      <c r="B19" s="40"/>
    </row>
    <row r="20" spans="2:2" x14ac:dyDescent="0.25">
      <c r="B20" s="40"/>
    </row>
    <row r="21" spans="2:2" x14ac:dyDescent="0.25">
      <c r="B21" s="40"/>
    </row>
    <row r="22" spans="2:2" x14ac:dyDescent="0.25">
      <c r="B22" s="40"/>
    </row>
    <row r="23" spans="2:2" x14ac:dyDescent="0.25">
      <c r="B23" s="40"/>
    </row>
    <row r="24" spans="2:2" x14ac:dyDescent="0.25">
      <c r="B24" s="40"/>
    </row>
    <row r="25" spans="2:2" x14ac:dyDescent="0.25">
      <c r="B25" s="40"/>
    </row>
    <row r="26" spans="2:2" x14ac:dyDescent="0.25">
      <c r="B26" s="40"/>
    </row>
    <row r="27" spans="2:2" x14ac:dyDescent="0.25">
      <c r="B27" s="40"/>
    </row>
    <row r="28" spans="2:2" x14ac:dyDescent="0.25">
      <c r="B28" s="40"/>
    </row>
    <row r="29" spans="2:2" x14ac:dyDescent="0.25">
      <c r="B29" s="40"/>
    </row>
    <row r="30" spans="2:2" x14ac:dyDescent="0.25">
      <c r="B30" s="40"/>
    </row>
    <row r="31" spans="2:2" x14ac:dyDescent="0.25">
      <c r="B31" s="40"/>
    </row>
    <row r="32" spans="2:2" x14ac:dyDescent="0.25">
      <c r="B32" s="40"/>
    </row>
    <row r="33" spans="2:2" x14ac:dyDescent="0.25">
      <c r="B33" s="40"/>
    </row>
    <row r="34" spans="2:2" x14ac:dyDescent="0.25">
      <c r="B34" s="40"/>
    </row>
    <row r="35" spans="2:2" x14ac:dyDescent="0.25">
      <c r="B35" s="40"/>
    </row>
    <row r="36" spans="2:2" x14ac:dyDescent="0.25">
      <c r="B36" s="40"/>
    </row>
    <row r="37" spans="2:2" x14ac:dyDescent="0.25">
      <c r="B37" s="40"/>
    </row>
    <row r="38" spans="2:2" x14ac:dyDescent="0.25">
      <c r="B38" s="40"/>
    </row>
    <row r="39" spans="2:2" x14ac:dyDescent="0.25">
      <c r="B39" s="40"/>
    </row>
    <row r="40" spans="2:2" x14ac:dyDescent="0.25">
      <c r="B40" s="40"/>
    </row>
    <row r="41" spans="2:2" x14ac:dyDescent="0.25">
      <c r="B41" s="40"/>
    </row>
    <row r="42" spans="2:2" x14ac:dyDescent="0.25">
      <c r="B42" s="40"/>
    </row>
    <row r="43" spans="2:2" x14ac:dyDescent="0.25">
      <c r="B43" s="40"/>
    </row>
    <row r="44" spans="2:2" x14ac:dyDescent="0.25">
      <c r="B44" s="40"/>
    </row>
    <row r="45" spans="2:2" x14ac:dyDescent="0.25">
      <c r="B45" s="40"/>
    </row>
    <row r="46" spans="2:2" x14ac:dyDescent="0.25">
      <c r="B46" s="40"/>
    </row>
    <row r="47" spans="2:2" x14ac:dyDescent="0.25">
      <c r="B47" s="40"/>
    </row>
    <row r="48" spans="2:2" x14ac:dyDescent="0.25">
      <c r="B48" s="40"/>
    </row>
    <row r="49" spans="2:2" x14ac:dyDescent="0.25">
      <c r="B49" s="40"/>
    </row>
    <row r="50" spans="2:2" x14ac:dyDescent="0.25">
      <c r="B50" s="40"/>
    </row>
    <row r="51" spans="2:2" x14ac:dyDescent="0.25">
      <c r="B51" s="40"/>
    </row>
    <row r="52" spans="2:2" x14ac:dyDescent="0.25">
      <c r="B52" s="40"/>
    </row>
    <row r="53" spans="2:2" x14ac:dyDescent="0.25">
      <c r="B53" s="40"/>
    </row>
    <row r="54" spans="2:2" x14ac:dyDescent="0.25">
      <c r="B54" s="40"/>
    </row>
    <row r="55" spans="2:2" x14ac:dyDescent="0.25">
      <c r="B55" s="40"/>
    </row>
    <row r="56" spans="2:2" x14ac:dyDescent="0.25">
      <c r="B56" s="40"/>
    </row>
    <row r="57" spans="2:2" x14ac:dyDescent="0.25">
      <c r="B57" s="40"/>
    </row>
    <row r="58" spans="2:2" x14ac:dyDescent="0.25">
      <c r="B58" s="40"/>
    </row>
    <row r="59" spans="2:2" x14ac:dyDescent="0.25">
      <c r="B59" s="40"/>
    </row>
    <row r="60" spans="2:2" x14ac:dyDescent="0.25">
      <c r="B60" s="40"/>
    </row>
    <row r="61" spans="2:2" x14ac:dyDescent="0.25">
      <c r="B61" s="40"/>
    </row>
    <row r="62" spans="2:2" x14ac:dyDescent="0.25">
      <c r="B62" s="40"/>
    </row>
    <row r="63" spans="2:2" x14ac:dyDescent="0.25">
      <c r="B63" s="40"/>
    </row>
    <row r="64" spans="2:2" x14ac:dyDescent="0.25">
      <c r="B64" s="40"/>
    </row>
    <row r="65" spans="2:2" x14ac:dyDescent="0.25">
      <c r="B65" s="40"/>
    </row>
    <row r="66" spans="2:2" x14ac:dyDescent="0.25">
      <c r="B66" s="40"/>
    </row>
    <row r="67" spans="2:2" x14ac:dyDescent="0.25">
      <c r="B67" s="40"/>
    </row>
    <row r="68" spans="2:2" x14ac:dyDescent="0.25">
      <c r="B68" s="40"/>
    </row>
    <row r="69" spans="2:2" x14ac:dyDescent="0.25">
      <c r="B69" s="40"/>
    </row>
    <row r="70" spans="2:2" x14ac:dyDescent="0.25">
      <c r="B70" s="40"/>
    </row>
    <row r="71" spans="2:2" x14ac:dyDescent="0.25">
      <c r="B71" s="40"/>
    </row>
    <row r="72" spans="2:2" x14ac:dyDescent="0.25">
      <c r="B72" s="40"/>
    </row>
    <row r="73" spans="2:2" x14ac:dyDescent="0.25">
      <c r="B73" s="40"/>
    </row>
    <row r="74" spans="2:2" x14ac:dyDescent="0.25">
      <c r="B74" s="40"/>
    </row>
    <row r="75" spans="2:2" x14ac:dyDescent="0.25">
      <c r="B75" s="40"/>
    </row>
    <row r="76" spans="2:2" x14ac:dyDescent="0.25">
      <c r="B76" s="40"/>
    </row>
    <row r="77" spans="2:2" x14ac:dyDescent="0.25">
      <c r="B77" s="40"/>
    </row>
    <row r="78" spans="2:2" x14ac:dyDescent="0.25">
      <c r="B78" s="40"/>
    </row>
    <row r="79" spans="2:2" x14ac:dyDescent="0.25">
      <c r="B79" s="40"/>
    </row>
    <row r="80" spans="2:2" x14ac:dyDescent="0.25">
      <c r="B80" s="40"/>
    </row>
    <row r="81" spans="2:2" x14ac:dyDescent="0.25">
      <c r="B81" s="40"/>
    </row>
    <row r="82" spans="2:2" x14ac:dyDescent="0.25">
      <c r="B82" s="40"/>
    </row>
    <row r="83" spans="2:2" x14ac:dyDescent="0.25">
      <c r="B83" s="40"/>
    </row>
    <row r="84" spans="2:2" x14ac:dyDescent="0.25">
      <c r="B84" s="40"/>
    </row>
    <row r="85" spans="2:2" x14ac:dyDescent="0.25">
      <c r="B85" s="40"/>
    </row>
    <row r="86" spans="2:2" x14ac:dyDescent="0.25">
      <c r="B86" s="40"/>
    </row>
    <row r="87" spans="2:2" x14ac:dyDescent="0.25">
      <c r="B87" s="4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bstoRel_Button1_Click">
                <anchor moveWithCells="1" sizeWithCells="1">
                  <from>
                    <xdr:col>5</xdr:col>
                    <xdr:colOff>28575</xdr:colOff>
                    <xdr:row>1</xdr:row>
                    <xdr:rowOff>0</xdr:rowOff>
                  </from>
                  <to>
                    <xdr:col>6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AbstoRel_Button2_Click">
                <anchor moveWithCells="1" siz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AbstoRel_Button3_Click">
                <anchor moveWithCells="1" sizeWithCells="1">
                  <from>
                    <xdr:col>0</xdr:col>
                    <xdr:colOff>0</xdr:colOff>
                    <xdr:row>2</xdr:row>
                    <xdr:rowOff>180975</xdr:rowOff>
                  </from>
                  <to>
                    <xdr:col>1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N30"/>
  <sheetViews>
    <sheetView tabSelected="1" workbookViewId="0">
      <selection activeCell="E10" sqref="E10"/>
    </sheetView>
  </sheetViews>
  <sheetFormatPr defaultRowHeight="15" x14ac:dyDescent="0.25"/>
  <cols>
    <col min="1" max="1" width="15.7109375" customWidth="1"/>
    <col min="2" max="2" width="9.140625" customWidth="1"/>
    <col min="7" max="7" width="19.42578125" customWidth="1"/>
    <col min="8" max="8" width="21" customWidth="1"/>
  </cols>
  <sheetData>
    <row r="1" spans="1:14" x14ac:dyDescent="0.25">
      <c r="A1" t="s">
        <v>44</v>
      </c>
      <c r="B1">
        <v>138</v>
      </c>
      <c r="C1" t="s">
        <v>45</v>
      </c>
    </row>
    <row r="2" spans="1:14" x14ac:dyDescent="0.25">
      <c r="A2" t="s">
        <v>46</v>
      </c>
      <c r="B2">
        <v>3</v>
      </c>
      <c r="C2" t="s">
        <v>47</v>
      </c>
    </row>
    <row r="3" spans="1:14" x14ac:dyDescent="0.25">
      <c r="A3" t="s">
        <v>48</v>
      </c>
      <c r="B3">
        <v>110</v>
      </c>
      <c r="C3" t="s">
        <v>10</v>
      </c>
    </row>
    <row r="5" spans="1:14" x14ac:dyDescent="0.25">
      <c r="A5" t="s">
        <v>49</v>
      </c>
      <c r="B5" t="s">
        <v>56</v>
      </c>
    </row>
    <row r="6" spans="1:14" x14ac:dyDescent="0.25">
      <c r="A6" t="s">
        <v>50</v>
      </c>
      <c r="B6">
        <v>-1.6339999999999999</v>
      </c>
    </row>
    <row r="7" spans="1:14" x14ac:dyDescent="0.25">
      <c r="A7" t="s">
        <v>51</v>
      </c>
      <c r="B7">
        <v>1.0349999999999999</v>
      </c>
    </row>
    <row r="8" spans="1:14" x14ac:dyDescent="0.25">
      <c r="A8" t="s">
        <v>52</v>
      </c>
      <c r="B8">
        <v>-9.5999999999999992E-3</v>
      </c>
    </row>
    <row r="9" spans="1:14" x14ac:dyDescent="0.25">
      <c r="A9" t="s">
        <v>53</v>
      </c>
      <c r="B9">
        <v>-1.9990000000000001</v>
      </c>
    </row>
    <row r="10" spans="1:14" x14ac:dyDescent="0.25">
      <c r="A10" t="s">
        <v>54</v>
      </c>
      <c r="B10">
        <v>0.87519999999999998</v>
      </c>
    </row>
    <row r="11" spans="1:14" x14ac:dyDescent="0.25">
      <c r="A11" t="s">
        <v>55</v>
      </c>
      <c r="B11">
        <v>1.3599999999999999E-2</v>
      </c>
    </row>
    <row r="12" spans="1:14" ht="17.25" customHeight="1" x14ac:dyDescent="0.25">
      <c r="G12" s="49" t="s">
        <v>68</v>
      </c>
      <c r="H12" s="49" t="s">
        <v>69</v>
      </c>
    </row>
    <row r="13" spans="1:14" ht="18.75" x14ac:dyDescent="0.35">
      <c r="A13" t="s">
        <v>57</v>
      </c>
      <c r="B13" t="s">
        <v>58</v>
      </c>
      <c r="C13" t="s">
        <v>59</v>
      </c>
      <c r="D13" s="4" t="s">
        <v>60</v>
      </c>
      <c r="E13" s="4" t="s">
        <v>61</v>
      </c>
      <c r="G13" s="49"/>
      <c r="H13" s="49"/>
      <c r="I13" t="s">
        <v>62</v>
      </c>
      <c r="J13" t="s">
        <v>63</v>
      </c>
      <c r="K13" t="s">
        <v>64</v>
      </c>
      <c r="L13" t="s">
        <v>65</v>
      </c>
      <c r="M13" t="s">
        <v>66</v>
      </c>
      <c r="N13" t="s">
        <v>67</v>
      </c>
    </row>
    <row r="14" spans="1:14" x14ac:dyDescent="0.25">
      <c r="A14">
        <v>50</v>
      </c>
      <c r="B14">
        <v>-500</v>
      </c>
      <c r="C14">
        <v>0</v>
      </c>
      <c r="D14">
        <f t="shared" ref="D14:D21" si="0">EXP($B$6+($B$7*LN(A14))+($B$8*(LN(A14))^2))</f>
        <v>9.6603138782221905</v>
      </c>
      <c r="E14">
        <f t="shared" ref="E14:E21" si="1">EXP($B$9+($B$10*LN(A14))+($B$11*(LN(A14))^2))</f>
        <v>5.118881205806356</v>
      </c>
      <c r="G14">
        <f t="shared" ref="G14:G21" si="2">I14*J14*M14</f>
        <v>0</v>
      </c>
      <c r="H14">
        <f t="shared" ref="H14:H21" si="3">I14*J14*N14</f>
        <v>0</v>
      </c>
      <c r="I14">
        <f t="shared" ref="I14:I21" si="4">$B$1/(2*PI()*$B$2*D14*E14)</f>
        <v>0.14805111238754332</v>
      </c>
      <c r="J14">
        <f t="shared" ref="J14:J21" si="5">EXP(-(B14^2)/(2*(D14^2)))</f>
        <v>0</v>
      </c>
      <c r="K14">
        <f t="shared" ref="K14:K21" si="6">EXP(-((C14-$B$3)^2)/(2*(E14^2)))</f>
        <v>5.3175633978744288E-101</v>
      </c>
      <c r="L14">
        <f t="shared" ref="L14:L21" si="7">EXP(-((C14+$B$3)^2)/(2*(E14^2)))</f>
        <v>5.3175633978744288E-101</v>
      </c>
      <c r="M14">
        <f t="shared" ref="M14:M21" si="8">K14+L14</f>
        <v>1.0635126795748858E-100</v>
      </c>
      <c r="N14">
        <f t="shared" ref="N14:N21" si="9">K14-L14</f>
        <v>0</v>
      </c>
    </row>
    <row r="15" spans="1:14" x14ac:dyDescent="0.25">
      <c r="A15">
        <f>A14+50</f>
        <v>100</v>
      </c>
      <c r="B15">
        <f>B14+50</f>
        <v>-450</v>
      </c>
      <c r="C15">
        <f>C14+10</f>
        <v>10</v>
      </c>
      <c r="D15">
        <f t="shared" si="0"/>
        <v>18.704389988555537</v>
      </c>
      <c r="E15">
        <f t="shared" si="1"/>
        <v>10.174333281141015</v>
      </c>
      <c r="G15">
        <f t="shared" si="2"/>
        <v>8.32971955527083E-149</v>
      </c>
      <c r="H15">
        <f t="shared" si="3"/>
        <v>8.3297195454578416E-149</v>
      </c>
      <c r="I15">
        <f t="shared" si="4"/>
        <v>3.8470555251349042E-2</v>
      </c>
      <c r="J15">
        <f t="shared" si="5"/>
        <v>2.053309854108181E-126</v>
      </c>
      <c r="K15">
        <f t="shared" si="6"/>
        <v>1.0545020627115212E-21</v>
      </c>
      <c r="L15">
        <f t="shared" si="7"/>
        <v>6.2113829325869767E-31</v>
      </c>
      <c r="M15">
        <f t="shared" si="8"/>
        <v>1.0545020633326596E-21</v>
      </c>
      <c r="N15">
        <f t="shared" si="9"/>
        <v>1.0545020620903828E-21</v>
      </c>
    </row>
    <row r="16" spans="1:14" x14ac:dyDescent="0.25">
      <c r="A16">
        <f t="shared" ref="A16:A30" si="10">A15+50</f>
        <v>150</v>
      </c>
      <c r="B16">
        <f t="shared" ref="B16:B30" si="11">B15+50</f>
        <v>-400</v>
      </c>
      <c r="C16">
        <f t="shared" ref="C16:C30" si="12">C15+10</f>
        <v>20</v>
      </c>
      <c r="D16">
        <f t="shared" si="0"/>
        <v>27.412125590607815</v>
      </c>
      <c r="E16">
        <f t="shared" si="1"/>
        <v>15.298517796794004</v>
      </c>
      <c r="G16">
        <f t="shared" si="2"/>
        <v>3.0893497613461187E-56</v>
      </c>
      <c r="H16">
        <f t="shared" si="3"/>
        <v>3.0893497190564927E-56</v>
      </c>
      <c r="I16">
        <f t="shared" si="4"/>
        <v>1.7457654505483686E-2</v>
      </c>
      <c r="J16">
        <f t="shared" si="5"/>
        <v>5.7953885617880924E-47</v>
      </c>
      <c r="K16">
        <f t="shared" si="6"/>
        <v>3.0535049136073938E-8</v>
      </c>
      <c r="L16">
        <f t="shared" si="7"/>
        <v>2.0899476074582692E-16</v>
      </c>
      <c r="M16">
        <f t="shared" si="8"/>
        <v>3.0535049345068697E-8</v>
      </c>
      <c r="N16">
        <f t="shared" si="9"/>
        <v>3.0535048927079179E-8</v>
      </c>
    </row>
    <row r="17" spans="1:14" x14ac:dyDescent="0.25">
      <c r="A17">
        <f t="shared" si="10"/>
        <v>200</v>
      </c>
      <c r="B17">
        <f t="shared" si="11"/>
        <v>-350</v>
      </c>
      <c r="C17">
        <f t="shared" si="12"/>
        <v>30</v>
      </c>
      <c r="D17">
        <f t="shared" si="0"/>
        <v>35.883072707708202</v>
      </c>
      <c r="E17">
        <f t="shared" si="1"/>
        <v>20.488604002769812</v>
      </c>
      <c r="G17">
        <f t="shared" si="2"/>
        <v>1.0677411097093017E-26</v>
      </c>
      <c r="H17">
        <f t="shared" si="3"/>
        <v>1.0677407925052562E-26</v>
      </c>
      <c r="I17">
        <f t="shared" si="4"/>
        <v>9.9580882242396099E-3</v>
      </c>
      <c r="J17">
        <f t="shared" si="5"/>
        <v>2.1923585971170303E-21</v>
      </c>
      <c r="K17">
        <f t="shared" si="6"/>
        <v>4.8907823715231156E-4</v>
      </c>
      <c r="L17">
        <f t="shared" si="7"/>
        <v>7.2647581458991803E-11</v>
      </c>
      <c r="M17">
        <f t="shared" si="8"/>
        <v>4.8907830979989298E-4</v>
      </c>
      <c r="N17">
        <f t="shared" si="9"/>
        <v>4.8907816450473015E-4</v>
      </c>
    </row>
    <row r="18" spans="1:14" x14ac:dyDescent="0.25">
      <c r="A18">
        <f t="shared" si="10"/>
        <v>250</v>
      </c>
      <c r="B18">
        <f t="shared" si="11"/>
        <v>-300</v>
      </c>
      <c r="C18">
        <f t="shared" si="12"/>
        <v>40</v>
      </c>
      <c r="D18">
        <f t="shared" si="0"/>
        <v>44.169802559268277</v>
      </c>
      <c r="E18">
        <f t="shared" si="1"/>
        <v>25.738795659310192</v>
      </c>
      <c r="G18">
        <f t="shared" si="2"/>
        <v>1.5330983165889912E-14</v>
      </c>
      <c r="H18">
        <f t="shared" si="3"/>
        <v>1.5330930958486733E-14</v>
      </c>
      <c r="I18">
        <f t="shared" si="4"/>
        <v>6.4396799462338025E-3</v>
      </c>
      <c r="J18">
        <f t="shared" si="5"/>
        <v>9.611917812491658E-11</v>
      </c>
      <c r="K18">
        <f t="shared" si="6"/>
        <v>2.4768227910447933E-2</v>
      </c>
      <c r="L18">
        <f t="shared" si="7"/>
        <v>4.2172346295427549E-8</v>
      </c>
      <c r="M18">
        <f t="shared" si="8"/>
        <v>2.4768270082794228E-2</v>
      </c>
      <c r="N18">
        <f t="shared" si="9"/>
        <v>2.4768185738101637E-2</v>
      </c>
    </row>
    <row r="19" spans="1:14" x14ac:dyDescent="0.25">
      <c r="A19">
        <f t="shared" si="10"/>
        <v>300</v>
      </c>
      <c r="B19">
        <f t="shared" si="11"/>
        <v>-250</v>
      </c>
      <c r="C19">
        <f t="shared" si="12"/>
        <v>50</v>
      </c>
      <c r="D19">
        <f t="shared" si="0"/>
        <v>52.305251122073955</v>
      </c>
      <c r="E19">
        <f t="shared" si="1"/>
        <v>31.043860248753397</v>
      </c>
      <c r="G19">
        <f t="shared" si="2"/>
        <v>7.6242111035057176E-9</v>
      </c>
      <c r="H19">
        <f t="shared" si="3"/>
        <v>7.6240427801633633E-9</v>
      </c>
      <c r="I19">
        <f t="shared" si="4"/>
        <v>4.508758272054398E-3</v>
      </c>
      <c r="J19">
        <f t="shared" si="5"/>
        <v>1.0946896691345548E-5</v>
      </c>
      <c r="K19">
        <f t="shared" si="6"/>
        <v>0.15446928881395264</v>
      </c>
      <c r="L19">
        <f t="shared" si="7"/>
        <v>1.7051648787138843E-6</v>
      </c>
      <c r="M19">
        <f t="shared" si="8"/>
        <v>0.15447099397883135</v>
      </c>
      <c r="N19">
        <f t="shared" si="9"/>
        <v>0.15446758364907393</v>
      </c>
    </row>
    <row r="20" spans="1:14" x14ac:dyDescent="0.25">
      <c r="A20">
        <f t="shared" si="10"/>
        <v>350</v>
      </c>
      <c r="B20">
        <f t="shared" si="11"/>
        <v>-200</v>
      </c>
      <c r="C20">
        <f t="shared" si="12"/>
        <v>60</v>
      </c>
      <c r="D20">
        <f t="shared" si="0"/>
        <v>60.312124839574416</v>
      </c>
      <c r="E20">
        <f t="shared" si="1"/>
        <v>36.399399463842634</v>
      </c>
      <c r="G20">
        <f t="shared" si="2"/>
        <v>5.3152399249059745E-6</v>
      </c>
      <c r="H20">
        <f t="shared" si="3"/>
        <v>5.3147390806783417E-6</v>
      </c>
      <c r="I20">
        <f t="shared" si="4"/>
        <v>3.3348715870647307E-3</v>
      </c>
      <c r="J20">
        <f t="shared" si="5"/>
        <v>4.0941236946135983E-3</v>
      </c>
      <c r="K20">
        <f t="shared" si="6"/>
        <v>0.3892802188959435</v>
      </c>
      <c r="L20">
        <f t="shared" si="7"/>
        <v>1.8341405045427865E-5</v>
      </c>
      <c r="M20">
        <f t="shared" si="8"/>
        <v>0.38929856030098892</v>
      </c>
      <c r="N20">
        <f t="shared" si="9"/>
        <v>0.38926187749089808</v>
      </c>
    </row>
    <row r="21" spans="1:14" x14ac:dyDescent="0.25">
      <c r="A21">
        <f t="shared" si="10"/>
        <v>400</v>
      </c>
      <c r="B21">
        <f t="shared" si="11"/>
        <v>-150</v>
      </c>
      <c r="C21">
        <f t="shared" si="12"/>
        <v>70</v>
      </c>
      <c r="D21">
        <f t="shared" si="0"/>
        <v>68.20708131325479</v>
      </c>
      <c r="E21">
        <f t="shared" si="1"/>
        <v>41.801732102487172</v>
      </c>
      <c r="G21">
        <f t="shared" si="2"/>
        <v>1.4473475443266013E-4</v>
      </c>
      <c r="H21">
        <f t="shared" si="3"/>
        <v>1.4469169909849458E-4</v>
      </c>
      <c r="I21">
        <f t="shared" si="4"/>
        <v>2.5677587622960417E-3</v>
      </c>
      <c r="J21">
        <f t="shared" si="5"/>
        <v>8.9081138971146848E-2</v>
      </c>
      <c r="K21">
        <f t="shared" si="6"/>
        <v>0.6326568960857416</v>
      </c>
      <c r="L21">
        <f t="shared" si="7"/>
        <v>9.4114597130922359E-5</v>
      </c>
      <c r="M21">
        <f t="shared" si="8"/>
        <v>0.63275101068287254</v>
      </c>
      <c r="N21">
        <f t="shared" si="9"/>
        <v>0.63256278148861067</v>
      </c>
    </row>
    <row r="22" spans="1:14" x14ac:dyDescent="0.25">
      <c r="A22">
        <f t="shared" si="10"/>
        <v>450</v>
      </c>
      <c r="B22">
        <f t="shared" si="11"/>
        <v>-100</v>
      </c>
      <c r="C22">
        <f t="shared" si="12"/>
        <v>80</v>
      </c>
      <c r="D22">
        <f t="shared" ref="D22:D30" si="13">EXP($B$6+($B$7*LN(A22))+($B$8*(LN(A22))^2))</f>
        <v>76.002888815712495</v>
      </c>
      <c r="E22">
        <f t="shared" ref="E22:E30" si="14">EXP($B$9+($B$10*LN(A22))+($B$11*(LN(A22))^2))</f>
        <v>47.247748707832145</v>
      </c>
      <c r="G22">
        <f t="shared" ref="G22:G30" si="15">I22*J22*M22</f>
        <v>7.0156157868755172E-4</v>
      </c>
      <c r="H22">
        <f t="shared" ref="H22:H30" si="16">I22*J22*N22</f>
        <v>7.010332253302087E-4</v>
      </c>
      <c r="I22">
        <f t="shared" ref="I22:I30" si="17">$B$1/(2*PI()*$B$2*D22*E22)</f>
        <v>2.038763001970317E-3</v>
      </c>
      <c r="J22">
        <f t="shared" ref="J22:J30" si="18">EXP(-(B22^2)/(2*(D22^2)))</f>
        <v>0.42080523997455027</v>
      </c>
      <c r="K22">
        <f t="shared" ref="K22:K30" si="19">EXP(-((C22-$B$3)^2)/(2*(E22^2)))</f>
        <v>0.81743710486749721</v>
      </c>
      <c r="L22">
        <f t="shared" ref="L22:L30" si="20">EXP(-((C22+$B$3)^2)/(2*(E22^2)))</f>
        <v>3.0792616480284241E-4</v>
      </c>
      <c r="M22">
        <f t="shared" ref="M22:M30" si="21">K22+L22</f>
        <v>0.81774503103230001</v>
      </c>
      <c r="N22">
        <f t="shared" ref="N22:N30" si="22">K22-L22</f>
        <v>0.81712917870269441</v>
      </c>
    </row>
    <row r="23" spans="1:14" x14ac:dyDescent="0.25">
      <c r="A23">
        <f t="shared" si="10"/>
        <v>500</v>
      </c>
      <c r="B23">
        <f t="shared" si="11"/>
        <v>-50</v>
      </c>
      <c r="C23">
        <f t="shared" si="12"/>
        <v>90</v>
      </c>
      <c r="D23">
        <f t="shared" si="13"/>
        <v>83.709660184301512</v>
      </c>
      <c r="E23">
        <f t="shared" si="14"/>
        <v>52.734791587545807</v>
      </c>
      <c r="G23">
        <f t="shared" si="15"/>
        <v>1.2922637116481452E-3</v>
      </c>
      <c r="H23">
        <f t="shared" si="16"/>
        <v>1.2901748037576482E-3</v>
      </c>
      <c r="I23">
        <f t="shared" si="17"/>
        <v>1.6584605692712578E-3</v>
      </c>
      <c r="J23">
        <f t="shared" si="18"/>
        <v>0.83662008314864256</v>
      </c>
      <c r="K23">
        <f t="shared" si="19"/>
        <v>0.93060752204216968</v>
      </c>
      <c r="L23">
        <f t="shared" si="20"/>
        <v>7.5275883013406768E-4</v>
      </c>
      <c r="M23">
        <f t="shared" si="21"/>
        <v>0.93136028087230371</v>
      </c>
      <c r="N23">
        <f t="shared" si="22"/>
        <v>0.92985476321203564</v>
      </c>
    </row>
    <row r="24" spans="1:14" x14ac:dyDescent="0.25">
      <c r="A24">
        <f t="shared" si="10"/>
        <v>550</v>
      </c>
      <c r="B24">
        <f t="shared" si="11"/>
        <v>0</v>
      </c>
      <c r="C24">
        <f t="shared" si="12"/>
        <v>100</v>
      </c>
      <c r="D24">
        <f t="shared" si="13"/>
        <v>91.335611300623185</v>
      </c>
      <c r="E24">
        <f t="shared" si="14"/>
        <v>58.260562770545569</v>
      </c>
      <c r="G24">
        <f t="shared" si="15"/>
        <v>1.3577829994501434E-3</v>
      </c>
      <c r="H24">
        <f t="shared" si="16"/>
        <v>1.3536303022323147E-3</v>
      </c>
      <c r="I24">
        <f t="shared" si="17"/>
        <v>1.375824846033504E-3</v>
      </c>
      <c r="J24">
        <f t="shared" si="18"/>
        <v>1</v>
      </c>
      <c r="K24">
        <f t="shared" si="19"/>
        <v>0.98537735726297171</v>
      </c>
      <c r="L24">
        <f t="shared" si="20"/>
        <v>1.5091663847330492E-3</v>
      </c>
      <c r="M24">
        <f t="shared" si="21"/>
        <v>0.98688652364770479</v>
      </c>
      <c r="N24">
        <f t="shared" si="22"/>
        <v>0.98386819087823862</v>
      </c>
    </row>
    <row r="25" spans="1:14" x14ac:dyDescent="0.25">
      <c r="A25">
        <f t="shared" si="10"/>
        <v>600</v>
      </c>
      <c r="B25">
        <f t="shared" si="11"/>
        <v>50</v>
      </c>
      <c r="C25">
        <f t="shared" si="12"/>
        <v>110</v>
      </c>
      <c r="D25">
        <f t="shared" si="13"/>
        <v>98.887554019177912</v>
      </c>
      <c r="E25">
        <f t="shared" si="14"/>
        <v>63.82305424188651</v>
      </c>
      <c r="G25">
        <f t="shared" si="15"/>
        <v>1.0234911199546825E-3</v>
      </c>
      <c r="H25">
        <f t="shared" si="16"/>
        <v>1.0181229495818628E-3</v>
      </c>
      <c r="I25">
        <f t="shared" si="17"/>
        <v>1.1600020189754881E-3</v>
      </c>
      <c r="J25">
        <f t="shared" si="18"/>
        <v>0.88000453281094082</v>
      </c>
      <c r="K25">
        <f t="shared" si="19"/>
        <v>1</v>
      </c>
      <c r="L25">
        <f t="shared" si="20"/>
        <v>2.6293756753147436E-3</v>
      </c>
      <c r="M25">
        <f t="shared" si="21"/>
        <v>1.0026293756753148</v>
      </c>
      <c r="N25">
        <f t="shared" si="22"/>
        <v>0.99737062432468526</v>
      </c>
    </row>
    <row r="26" spans="1:14" x14ac:dyDescent="0.25">
      <c r="A26">
        <f t="shared" si="10"/>
        <v>650</v>
      </c>
      <c r="B26">
        <f t="shared" si="11"/>
        <v>100</v>
      </c>
      <c r="C26">
        <f t="shared" si="12"/>
        <v>120</v>
      </c>
      <c r="D26">
        <f t="shared" si="13"/>
        <v>106.37123090233155</v>
      </c>
      <c r="E26">
        <f t="shared" si="14"/>
        <v>69.42049475994061</v>
      </c>
      <c r="G26">
        <f t="shared" si="15"/>
        <v>6.3336918555578509E-4</v>
      </c>
      <c r="H26">
        <f t="shared" si="16"/>
        <v>6.2809960815403377E-4</v>
      </c>
      <c r="I26">
        <f t="shared" si="17"/>
        <v>9.9143917188718503E-4</v>
      </c>
      <c r="J26">
        <f t="shared" si="18"/>
        <v>0.64281546173165316</v>
      </c>
      <c r="K26">
        <f t="shared" si="19"/>
        <v>0.98967848122725632</v>
      </c>
      <c r="L26">
        <f t="shared" si="20"/>
        <v>4.1342182903609899E-3</v>
      </c>
      <c r="M26">
        <f t="shared" si="21"/>
        <v>0.9938126995176173</v>
      </c>
      <c r="N26">
        <f t="shared" si="22"/>
        <v>0.98554426293689534</v>
      </c>
    </row>
    <row r="27" spans="1:14" x14ac:dyDescent="0.25">
      <c r="A27">
        <f t="shared" si="10"/>
        <v>700</v>
      </c>
      <c r="B27">
        <f t="shared" si="11"/>
        <v>150</v>
      </c>
      <c r="C27">
        <f t="shared" si="12"/>
        <v>130</v>
      </c>
      <c r="D27">
        <f t="shared" si="13"/>
        <v>113.79155077044993</v>
      </c>
      <c r="E27">
        <f t="shared" si="14"/>
        <v>75.051308846993521</v>
      </c>
      <c r="G27">
        <f t="shared" si="15"/>
        <v>3.4919078970390501E-4</v>
      </c>
      <c r="H27">
        <f t="shared" si="16"/>
        <v>3.4486301007997521E-4</v>
      </c>
      <c r="I27">
        <f t="shared" si="17"/>
        <v>8.5725430895764907E-4</v>
      </c>
      <c r="J27">
        <f t="shared" si="18"/>
        <v>0.41944395457732514</v>
      </c>
      <c r="K27">
        <f t="shared" si="19"/>
        <v>0.9651160198523655</v>
      </c>
      <c r="L27">
        <f t="shared" si="20"/>
        <v>6.0179908916944466E-3</v>
      </c>
      <c r="M27">
        <f t="shared" si="21"/>
        <v>0.97113401074405992</v>
      </c>
      <c r="N27">
        <f t="shared" si="22"/>
        <v>0.95909802896067109</v>
      </c>
    </row>
    <row r="28" spans="1:14" x14ac:dyDescent="0.25">
      <c r="A28">
        <f t="shared" si="10"/>
        <v>750</v>
      </c>
      <c r="B28">
        <f t="shared" si="11"/>
        <v>200</v>
      </c>
      <c r="C28">
        <f t="shared" si="12"/>
        <v>140</v>
      </c>
      <c r="D28">
        <f t="shared" si="13"/>
        <v>121.15275941676941</v>
      </c>
      <c r="E28">
        <f t="shared" si="14"/>
        <v>80.714084751930343</v>
      </c>
      <c r="G28">
        <f t="shared" si="15"/>
        <v>1.8045096764386458E-4</v>
      </c>
      <c r="H28">
        <f t="shared" si="16"/>
        <v>1.7728621421312957E-4</v>
      </c>
      <c r="I28">
        <f t="shared" si="17"/>
        <v>7.4867843973735115E-4</v>
      </c>
      <c r="J28">
        <f t="shared" si="18"/>
        <v>0.25599834916130143</v>
      </c>
      <c r="K28">
        <f t="shared" si="19"/>
        <v>0.93325772711252974</v>
      </c>
      <c r="L28">
        <f t="shared" si="20"/>
        <v>8.2561465327918842E-3</v>
      </c>
      <c r="M28">
        <f t="shared" si="21"/>
        <v>0.94151387364532158</v>
      </c>
      <c r="N28">
        <f t="shared" si="22"/>
        <v>0.92500158057973791</v>
      </c>
    </row>
    <row r="29" spans="1:14" x14ac:dyDescent="0.25">
      <c r="A29">
        <f t="shared" si="10"/>
        <v>800</v>
      </c>
      <c r="B29">
        <f t="shared" si="11"/>
        <v>250</v>
      </c>
      <c r="C29">
        <f t="shared" si="12"/>
        <v>150</v>
      </c>
      <c r="D29">
        <f t="shared" si="13"/>
        <v>128.45856644446908</v>
      </c>
      <c r="E29">
        <f t="shared" si="14"/>
        <v>86.407549094368548</v>
      </c>
      <c r="G29">
        <f t="shared" si="15"/>
        <v>9.025628513942589E-5</v>
      </c>
      <c r="H29">
        <f t="shared" si="16"/>
        <v>8.8109533769553181E-5</v>
      </c>
      <c r="I29">
        <f t="shared" si="17"/>
        <v>6.5957351057945057E-4</v>
      </c>
      <c r="J29">
        <f t="shared" si="18"/>
        <v>0.15050554086229531</v>
      </c>
      <c r="K29">
        <f t="shared" si="19"/>
        <v>0.89839213705691956</v>
      </c>
      <c r="L29">
        <f t="shared" si="20"/>
        <v>1.0812747435056492E-2</v>
      </c>
      <c r="M29">
        <f t="shared" si="21"/>
        <v>0.90920488449197601</v>
      </c>
      <c r="N29">
        <f t="shared" si="22"/>
        <v>0.88757938962186311</v>
      </c>
    </row>
    <row r="30" spans="1:14" x14ac:dyDescent="0.25">
      <c r="A30">
        <f t="shared" si="10"/>
        <v>850</v>
      </c>
      <c r="B30">
        <f t="shared" si="11"/>
        <v>300</v>
      </c>
      <c r="C30">
        <f t="shared" si="12"/>
        <v>160</v>
      </c>
      <c r="D30">
        <f t="shared" si="13"/>
        <v>135.71224152472323</v>
      </c>
      <c r="E30">
        <f t="shared" si="14"/>
        <v>92.130546547127125</v>
      </c>
      <c r="G30">
        <f t="shared" si="15"/>
        <v>4.4596994179256035E-5</v>
      </c>
      <c r="H30">
        <f t="shared" si="16"/>
        <v>4.3208648284670179E-5</v>
      </c>
      <c r="I30">
        <f t="shared" si="17"/>
        <v>5.8553827923862694E-4</v>
      </c>
      <c r="J30">
        <f t="shared" si="18"/>
        <v>8.6874832807658495E-2</v>
      </c>
      <c r="K30">
        <f t="shared" si="19"/>
        <v>0.86306430528318145</v>
      </c>
      <c r="L30">
        <f t="shared" si="20"/>
        <v>1.3646409859090472E-2</v>
      </c>
      <c r="M30">
        <f t="shared" si="21"/>
        <v>0.87671071514227195</v>
      </c>
      <c r="N30">
        <f t="shared" si="22"/>
        <v>0.84941789542409096</v>
      </c>
    </row>
  </sheetData>
  <mergeCells count="2">
    <mergeCell ref="G12:G13"/>
    <mergeCell ref="H12:H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Group Box 1">
              <controlPr defaultSize="0" autoFill="0" autoPict="0">
                <anchor mov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6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Group Box 8">
              <controlPr defaultSize="0" autoFill="0" autoPict="0">
                <anchor moveWithCells="1">
                  <from>
                    <xdr:col>6</xdr:col>
                    <xdr:colOff>447675</xdr:colOff>
                    <xdr:row>0</xdr:row>
                    <xdr:rowOff>180975</xdr:rowOff>
                  </from>
                  <to>
                    <xdr:col>7</xdr:col>
                    <xdr:colOff>371475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6" name="Option Button 10">
              <controlPr defaultSize="0" autoFill="0" autoLine="0" autoPict="0" macro="[0]!PG_Click">
                <anchor moveWithCells="1">
                  <from>
                    <xdr:col>6</xdr:col>
                    <xdr:colOff>523875</xdr:colOff>
                    <xdr:row>1</xdr:row>
                    <xdr:rowOff>133350</xdr:rowOff>
                  </from>
                  <to>
                    <xdr:col>7</xdr:col>
                    <xdr:colOff>352425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7" name="Option Button 11">
              <controlPr defaultSize="0" autoFill="0" autoLine="0" autoPict="0" macro="[0]!ASME_Click">
                <anchor moveWithCells="1">
                  <from>
                    <xdr:col>6</xdr:col>
                    <xdr:colOff>523875</xdr:colOff>
                    <xdr:row>2</xdr:row>
                    <xdr:rowOff>152400</xdr:rowOff>
                  </from>
                  <to>
                    <xdr:col>6</xdr:col>
                    <xdr:colOff>1143000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Option Button 13">
              <controlPr defaultSize="0" autoFill="0" autoLine="0" autoPict="0" macro="[0]!Klug_Click">
                <anchor moveWithCells="1">
                  <from>
                    <xdr:col>6</xdr:col>
                    <xdr:colOff>533400</xdr:colOff>
                    <xdr:row>4</xdr:row>
                    <xdr:rowOff>0</xdr:rowOff>
                  </from>
                  <to>
                    <xdr:col>6</xdr:col>
                    <xdr:colOff>1123950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Option Button 14">
              <controlPr defaultSize="0" autoFill="0" autoLine="0" autoPict="0" macro="[0]!strongsun_Click">
                <anchor moveWithCells="1">
                  <from>
                    <xdr:col>3</xdr:col>
                    <xdr:colOff>57150</xdr:colOff>
                    <xdr:row>1</xdr:row>
                    <xdr:rowOff>123825</xdr:rowOff>
                  </from>
                  <to>
                    <xdr:col>4</xdr:col>
                    <xdr:colOff>123825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0" name="Option Button 16">
              <controlPr defaultSize="0" autoFill="0" autoLine="0" autoPict="0" macro="[0]!modsun_Click">
                <anchor moveWithCells="1">
                  <from>
                    <xdr:col>4</xdr:col>
                    <xdr:colOff>361950</xdr:colOff>
                    <xdr:row>1</xdr:row>
                    <xdr:rowOff>123825</xdr:rowOff>
                  </from>
                  <to>
                    <xdr:col>5</xdr:col>
                    <xdr:colOff>428625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1" name="Option Button 17">
              <controlPr defaultSize="0" autoFill="0" autoLine="0" autoPict="0" macro="[0]!slightsun_Click">
                <anchor moveWithCells="1">
                  <from>
                    <xdr:col>3</xdr:col>
                    <xdr:colOff>47625</xdr:colOff>
                    <xdr:row>2</xdr:row>
                    <xdr:rowOff>133350</xdr:rowOff>
                  </from>
                  <to>
                    <xdr:col>4</xdr:col>
                    <xdr:colOff>114300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2" name="Option Button 18">
              <controlPr defaultSize="0" autoFill="0" autoLine="0" autoPict="0" macro="[0]!overcast_Click">
                <anchor moveWithCells="1">
                  <from>
                    <xdr:col>4</xdr:col>
                    <xdr:colOff>361950</xdr:colOff>
                    <xdr:row>2</xdr:row>
                    <xdr:rowOff>142875</xdr:rowOff>
                  </from>
                  <to>
                    <xdr:col>5</xdr:col>
                    <xdr:colOff>428625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3" name="Option Button 19">
              <controlPr defaultSize="0" autoFill="0" autoLine="0" autoPict="0" macro="[0]!nightcloudy_Click">
                <anchor moveWithCells="1">
                  <from>
                    <xdr:col>3</xdr:col>
                    <xdr:colOff>57150</xdr:colOff>
                    <xdr:row>3</xdr:row>
                    <xdr:rowOff>142875</xdr:rowOff>
                  </from>
                  <to>
                    <xdr:col>4</xdr:col>
                    <xdr:colOff>123825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4" name="Option Button 20">
              <controlPr defaultSize="0" autoFill="0" autoLine="0" autoPict="0" macro="[0]!nightclear_Click">
                <anchor moveWithCells="1">
                  <from>
                    <xdr:col>4</xdr:col>
                    <xdr:colOff>361950</xdr:colOff>
                    <xdr:row>3</xdr:row>
                    <xdr:rowOff>142875</xdr:rowOff>
                  </from>
                  <to>
                    <xdr:col>5</xdr:col>
                    <xdr:colOff>428625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Basic Functions</vt:lpstr>
      <vt:lpstr>Conversions</vt:lpstr>
      <vt:lpstr>LOD</vt:lpstr>
      <vt:lpstr>Flow Conc</vt:lpstr>
      <vt:lpstr>Rel to Abs</vt:lpstr>
      <vt:lpstr>Abs to Rel</vt:lpstr>
      <vt:lpstr>Gaussian Plume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speait</dc:creator>
  <cp:lastModifiedBy>Hoover, Bode</cp:lastModifiedBy>
  <cp:lastPrinted>2018-03-05T14:23:39Z</cp:lastPrinted>
  <dcterms:created xsi:type="dcterms:W3CDTF">2017-12-11T15:46:02Z</dcterms:created>
  <dcterms:modified xsi:type="dcterms:W3CDTF">2023-02-10T19:35:57Z</dcterms:modified>
</cp:coreProperties>
</file>